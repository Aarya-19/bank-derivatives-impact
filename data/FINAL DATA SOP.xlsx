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yaAamishBhatt/Desktop/4-2/SOP-ECO/"/>
    </mc:Choice>
  </mc:AlternateContent>
  <xr:revisionPtr revIDLastSave="0" documentId="13_ncr:1_{BF5FEBEF-F17D-C042-819E-AEA926C1357C}" xr6:coauthVersionLast="47" xr6:coauthVersionMax="47" xr10:uidLastSave="{00000000-0000-0000-0000-000000000000}"/>
  <bookViews>
    <workbookView xWindow="16800" yWindow="500" windowWidth="16800" windowHeight="18980" activeTab="5" xr2:uid="{F65A9FD2-AC09-B047-AFD0-4B0A29FDD1A8}"/>
  </bookViews>
  <sheets>
    <sheet name="All" sheetId="6" r:id="rId1"/>
    <sheet name="Cluster 1" sheetId="1" r:id="rId2"/>
    <sheet name="Cluster 2" sheetId="2" r:id="rId3"/>
    <sheet name="Cluster 3" sheetId="3" r:id="rId4"/>
    <sheet name="Cluster 4" sheetId="4" r:id="rId5"/>
    <sheet name="Cluster 5" sheetId="5" r:id="rId6"/>
  </sheets>
  <definedNames>
    <definedName name="_xlnm._FilterDatabase" localSheetId="0" hidden="1">All!$A$1:$AB$858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5" l="1"/>
  <c r="G17" i="5"/>
  <c r="G16" i="5"/>
  <c r="G15" i="5"/>
  <c r="G14" i="5"/>
  <c r="G13" i="5"/>
  <c r="G12" i="5"/>
  <c r="F368" i="6" l="1"/>
  <c r="F366" i="6"/>
  <c r="F367" i="6"/>
  <c r="F363" i="6"/>
  <c r="F362" i="6"/>
  <c r="F369" i="6"/>
  <c r="F370" i="6"/>
  <c r="F365" i="6"/>
  <c r="F364" i="6"/>
  <c r="G523" i="6" l="1"/>
  <c r="G530" i="6" l="1"/>
  <c r="G529" i="6"/>
  <c r="G528" i="6"/>
  <c r="G527" i="6"/>
  <c r="G526" i="6"/>
  <c r="G525" i="6"/>
  <c r="G524" i="6"/>
  <c r="G12" i="6" l="1"/>
  <c r="G13" i="6"/>
  <c r="G14" i="6"/>
  <c r="G15" i="6"/>
  <c r="G16" i="6"/>
  <c r="G17" i="6"/>
  <c r="G18" i="6"/>
</calcChain>
</file>

<file path=xl/sharedStrings.xml><?xml version="1.0" encoding="utf-8"?>
<sst xmlns="http://schemas.openxmlformats.org/spreadsheetml/2006/main" count="1529" uniqueCount="110">
  <si>
    <t>Bank</t>
  </si>
  <si>
    <t>Year</t>
  </si>
  <si>
    <t>npl (npl/ta * ta)</t>
  </si>
  <si>
    <t>Annualized Net Interest Margin</t>
  </si>
  <si>
    <t>Efficiency Ratio</t>
  </si>
  <si>
    <t>Dividend Payout Ratio (dummy)</t>
  </si>
  <si>
    <t>Total Debt to Total Equity</t>
  </si>
  <si>
    <t>LDR ( Total loans / (total assets* deposits/assets) )</t>
  </si>
  <si>
    <t>GDP GROWTH</t>
  </si>
  <si>
    <t>WCUI</t>
  </si>
  <si>
    <t>Derivative value</t>
  </si>
  <si>
    <t xml:space="preserve">TISCO FINANCIAL GROUP PCL </t>
  </si>
  <si>
    <t>SCB X PCL</t>
  </si>
  <si>
    <t>Bangkok Bank PCL</t>
  </si>
  <si>
    <t>Kasikornbank PCL</t>
  </si>
  <si>
    <t>Krung Thai Bank PCL</t>
  </si>
  <si>
    <t>Bank of Ayudhya PCL</t>
  </si>
  <si>
    <t>TMBThanachart Bank PCL</t>
  </si>
  <si>
    <t>Kiatnakin Phatra Bank PCL</t>
  </si>
  <si>
    <t>Malayan Banking Bhd</t>
  </si>
  <si>
    <t>Public Bank Bhd</t>
  </si>
  <si>
    <t>CIMB Group Holdings Bhd</t>
  </si>
  <si>
    <t>Hong Leong Bank Bhd</t>
  </si>
  <si>
    <t>RHB BANK BHD</t>
  </si>
  <si>
    <t xml:space="preserve">Hong Leong Financial Group Bhd </t>
  </si>
  <si>
    <t>Alliance Bank Malaysia Bhd</t>
  </si>
  <si>
    <t>aus</t>
  </si>
  <si>
    <t>BENDIGO AND ADELAIDE BANK</t>
  </si>
  <si>
    <t>BANK OF QUEENSLAND LTD</t>
  </si>
  <si>
    <t>NATIONAL AUSTRALIA BANK LTD</t>
  </si>
  <si>
    <t>WESTPAC BANKING CORP</t>
  </si>
  <si>
    <t>SHINHAN FINANCIAL GROUP LTD</t>
  </si>
  <si>
    <t>HANA FINANCIAL GROUP</t>
  </si>
  <si>
    <t>KB FINANCIAL GROUP INC</t>
  </si>
  <si>
    <t>BNK FINANCIAL GROUP INC</t>
  </si>
  <si>
    <t>hk</t>
  </si>
  <si>
    <t>HANG SENG BANK LTD</t>
  </si>
  <si>
    <t>BANK OF EAST ASIA LTD</t>
  </si>
  <si>
    <t>DAH SING BANKING GROUP LTD</t>
  </si>
  <si>
    <t>BOC HONG KONG HOLDINGS LTD</t>
  </si>
  <si>
    <t>sing</t>
  </si>
  <si>
    <t>DBS GROUP HOLDINGS LTD</t>
  </si>
  <si>
    <t>OVERSEA-CHINESE BANKING CORP</t>
  </si>
  <si>
    <t>UNITED OVERSEAS BANK LTD</t>
  </si>
  <si>
    <t>CHANG HWA COMMERCIAL BANK</t>
  </si>
  <si>
    <t>TAICHUNG COMMERCIAL BANK</t>
  </si>
  <si>
    <t>MEGA FINANCIAL HOLDING CO LT</t>
  </si>
  <si>
    <t>SEVEN BANK LTD</t>
  </si>
  <si>
    <t>RESONA HOLDINGS INC</t>
  </si>
  <si>
    <t>SUMITOMO MITSUI TRUST HOLDIN</t>
  </si>
  <si>
    <t>japan</t>
  </si>
  <si>
    <t>SHIZUOKA FINANCIAL GROUP INC</t>
  </si>
  <si>
    <t>MEBUKI FINANCIAL GROUP INC</t>
  </si>
  <si>
    <t>AOZORA BANK LTD</t>
  </si>
  <si>
    <t>HACHIJUNI BANK LTD/THE</t>
  </si>
  <si>
    <t>YAMAGUCHI FINANCIAL GROUP IN</t>
  </si>
  <si>
    <t>HOKUHOKU FINANCIAL GROUP INC</t>
  </si>
  <si>
    <t>TOHO BANK LTD/THE</t>
  </si>
  <si>
    <t>SHIMIZU BANK LTD/THE</t>
  </si>
  <si>
    <t>SHINKIN CENTRAL BANK CLASS-A</t>
  </si>
  <si>
    <t xml:space="preserve">SECB BANK CORP </t>
  </si>
  <si>
    <t>php</t>
  </si>
  <si>
    <t>HDFC BANK LIMITED</t>
  </si>
  <si>
    <t>AMMB HOLDINGS BHD</t>
  </si>
  <si>
    <t>AFFIN BANK BHD</t>
  </si>
  <si>
    <t>BANK ISLAM MALAYSIA BHD</t>
  </si>
  <si>
    <t>AGRICULTURAL BANK OF CHINA-H</t>
  </si>
  <si>
    <t>CHINA CONSTRUCTION BANK-H</t>
  </si>
  <si>
    <t>BANK OF CHINA LTD-H</t>
  </si>
  <si>
    <t>CHINA MERCHANTS BANK-A</t>
  </si>
  <si>
    <t>Malaysia</t>
  </si>
  <si>
    <t>ICICI BANK LTD</t>
  </si>
  <si>
    <t>KOTAK MAHINDRA BANK LTD</t>
  </si>
  <si>
    <t>AXIS BANK LTD</t>
  </si>
  <si>
    <t>INDUSIND BANK LTD</t>
  </si>
  <si>
    <t>CITY UNION BANK LTD</t>
  </si>
  <si>
    <t>BANK CHINA CONSTRUCTION BANK INDONESIA</t>
  </si>
  <si>
    <t>BANK OF COMMUNICATIONS CO-H</t>
  </si>
  <si>
    <t>INDUSTRIAL BANK CO LTD -A</t>
  </si>
  <si>
    <t>CHINA CITIC BANK CORP LTD-H</t>
  </si>
  <si>
    <t>PING AN BANK CO LTD-A</t>
  </si>
  <si>
    <t>SHANGHAI PUDONG DEVEL BANK-A</t>
  </si>
  <si>
    <t>BANK OF NINGBO CO LTD -A</t>
  </si>
  <si>
    <t>CHINA EVERBRIGHT BANK CO-A</t>
  </si>
  <si>
    <t>CHINA MINSHENG BANKING-A</t>
  </si>
  <si>
    <t>CHONGQING RURAL COMMERCIAL-H</t>
  </si>
  <si>
    <t>IND &amp; COMM BK OF CHINA-A</t>
  </si>
  <si>
    <t>Derivatives change (not in %)</t>
  </si>
  <si>
    <t>taiwan</t>
  </si>
  <si>
    <t>CHINA BANKING CORP</t>
  </si>
  <si>
    <t>china</t>
  </si>
  <si>
    <t>korea</t>
  </si>
  <si>
    <t>HYAKUJUSHI BANK LTD/THE</t>
  </si>
  <si>
    <t>YAMANASHI CHUO BANK LTD/THE</t>
  </si>
  <si>
    <t>BDO UNIBANK INC</t>
  </si>
  <si>
    <t>MYSTATE LTD</t>
  </si>
  <si>
    <t>WING HANG FINANCIAL HOLDINGS</t>
  </si>
  <si>
    <t>THE SHANGHAI COMMERCIAL &amp; SA</t>
  </si>
  <si>
    <t>ind</t>
  </si>
  <si>
    <t>indo</t>
  </si>
  <si>
    <t>CPI/ EXCHANGE RATE WRT $</t>
  </si>
  <si>
    <t>CNTRN (1-BANK CONCENTRATION RATIO)</t>
  </si>
  <si>
    <t>Log-z score (ROA+SHE/TA)/(STDEV(ROA)</t>
  </si>
  <si>
    <t>Total Risk (STDEV OF DAILY RETURNS)</t>
  </si>
  <si>
    <t>Idiosyncratic risk (Total Risk-Systematic Risk)</t>
  </si>
  <si>
    <t>Tobin's Q Ratio (Market Value/TA)</t>
  </si>
  <si>
    <t>Size ( ln(TA))</t>
  </si>
  <si>
    <t>Credit Risk (Total loans/Total Assets)</t>
  </si>
  <si>
    <t>Liquidity (Liquid Assets/Total Assets)</t>
  </si>
  <si>
    <t>Interest Coverage Ratio (Total Interest Expense/Operating Income or Losses)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</si>
</sst>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000"/>
    <numFmt numFmtId="166" formatCode="0.0000"/>
    <numFmt numFmtId="167" formatCode="#,##0.00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6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F81BD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" fontId="2" fillId="2" borderId="1">
      <alignment horizontal="right"/>
    </xf>
    <xf numFmtId="164" fontId="3" fillId="3" borderId="1">
      <alignment horizontal="right"/>
    </xf>
    <xf numFmtId="0" fontId="4" fillId="4" borderId="2" applyNumberFormat="0" applyProtection="0">
      <alignment horizontal="left" vertical="center" readingOrder="1"/>
    </xf>
    <xf numFmtId="0" fontId="5" fillId="0" borderId="0"/>
    <xf numFmtId="43" fontId="8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65" fontId="5" fillId="0" borderId="0" xfId="0" applyNumberFormat="1" applyFont="1"/>
    <xf numFmtId="2" fontId="5" fillId="0" borderId="0" xfId="0" applyNumberFormat="1" applyFont="1"/>
    <xf numFmtId="0" fontId="5" fillId="0" borderId="0" xfId="0" applyFont="1" applyAlignment="1">
      <alignment horizontal="center"/>
    </xf>
    <xf numFmtId="166" fontId="6" fillId="0" borderId="0" xfId="1" applyNumberFormat="1" applyFont="1" applyFill="1" applyBorder="1">
      <alignment horizontal="right"/>
    </xf>
    <xf numFmtId="2" fontId="5" fillId="0" borderId="0" xfId="0" applyNumberFormat="1" applyFont="1" applyAlignment="1">
      <alignment horizontal="right"/>
    </xf>
    <xf numFmtId="2" fontId="6" fillId="0" borderId="0" xfId="1" applyNumberFormat="1" applyFont="1" applyFill="1" applyBorder="1">
      <alignment horizontal="right"/>
    </xf>
    <xf numFmtId="166" fontId="7" fillId="0" borderId="0" xfId="1" applyNumberFormat="1" applyFont="1" applyFill="1" applyBorder="1">
      <alignment horizontal="right"/>
    </xf>
    <xf numFmtId="2" fontId="5" fillId="0" borderId="0" xfId="0" applyNumberFormat="1" applyFont="1" applyAlignment="1">
      <alignment horizontal="center"/>
    </xf>
    <xf numFmtId="2" fontId="6" fillId="0" borderId="0" xfId="2" applyNumberFormat="1" applyFont="1" applyFill="1" applyBorder="1">
      <alignment horizontal="right"/>
    </xf>
    <xf numFmtId="2" fontId="7" fillId="0" borderId="0" xfId="1" applyNumberFormat="1" applyFont="1" applyFill="1" applyBorder="1">
      <alignment horizontal="right"/>
    </xf>
    <xf numFmtId="166" fontId="5" fillId="0" borderId="0" xfId="0" applyNumberFormat="1" applyFont="1"/>
    <xf numFmtId="166" fontId="5" fillId="0" borderId="0" xfId="0" applyNumberFormat="1" applyFont="1" applyAlignment="1">
      <alignment horizontal="center"/>
    </xf>
    <xf numFmtId="2" fontId="5" fillId="0" borderId="0" xfId="0" quotePrefix="1" applyNumberFormat="1" applyFont="1"/>
    <xf numFmtId="166" fontId="6" fillId="5" borderId="0" xfId="1" applyNumberFormat="1" applyFont="1" applyFill="1" applyBorder="1">
      <alignment horizontal="right"/>
    </xf>
    <xf numFmtId="0" fontId="5" fillId="0" borderId="0" xfId="0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/>
    </xf>
    <xf numFmtId="2" fontId="7" fillId="0" borderId="0" xfId="1" applyNumberFormat="1" applyFont="1" applyFill="1" applyBorder="1" applyAlignment="1">
      <alignment horizontal="center"/>
    </xf>
    <xf numFmtId="166" fontId="5" fillId="0" borderId="0" xfId="4" applyNumberFormat="1"/>
    <xf numFmtId="166" fontId="5" fillId="0" borderId="0" xfId="0" applyNumberFormat="1" applyFont="1" applyAlignment="1">
      <alignment horizontal="right"/>
    </xf>
    <xf numFmtId="4" fontId="6" fillId="0" borderId="0" xfId="1" applyFont="1" applyFill="1" applyBorder="1">
      <alignment horizontal="right"/>
    </xf>
    <xf numFmtId="4" fontId="5" fillId="0" borderId="0" xfId="0" applyNumberFormat="1" applyFont="1"/>
    <xf numFmtId="4" fontId="6" fillId="0" borderId="1" xfId="1" applyFont="1" applyFill="1">
      <alignment horizontal="right"/>
    </xf>
    <xf numFmtId="4" fontId="7" fillId="2" borderId="0" xfId="1" applyFont="1" applyBorder="1">
      <alignment horizontal="right"/>
    </xf>
    <xf numFmtId="4" fontId="7" fillId="0" borderId="1" xfId="1" applyFont="1" applyFill="1">
      <alignment horizontal="right"/>
    </xf>
    <xf numFmtId="2" fontId="5" fillId="0" borderId="0" xfId="5" applyNumberFormat="1" applyFont="1" applyFill="1" applyBorder="1"/>
    <xf numFmtId="2" fontId="9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0" fillId="0" borderId="0" xfId="0" applyFont="1"/>
    <xf numFmtId="167" fontId="1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166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</cellXfs>
  <cellStyles count="6">
    <cellStyle name="blp_title_header_row_left" xfId="3" xr:uid="{46FDCBD2-BA67-4307-86B2-AFC10012AC87}"/>
    <cellStyle name="Comma" xfId="5" builtinId="3"/>
    <cellStyle name="fa_data_standard_1_grouped" xfId="2" xr:uid="{5C05FE41-20FB-49C9-A11C-5888A0E64655}"/>
    <cellStyle name="fa_data_standard_2_grouped" xfId="1" xr:uid="{9E341407-912B-4E3A-AC9B-EB7409448093}"/>
    <cellStyle name="Normal" xfId="0" builtinId="0"/>
    <cellStyle name="Normal 2" xfId="4" xr:uid="{97052D74-397F-49D3-B94A-0BCEF9A91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9890-B00D-6546-B52F-367C6B8E15EB}">
  <dimension ref="A1:AB858"/>
  <sheetViews>
    <sheetView zoomScale="106" zoomScaleNormal="70" workbookViewId="0">
      <pane ySplit="1" topLeftCell="A2" activePane="bottomLeft" state="frozen"/>
      <selection pane="bottomLeft" sqref="A1:XFD1"/>
    </sheetView>
  </sheetViews>
  <sheetFormatPr baseColWidth="10" defaultColWidth="11" defaultRowHeight="15" x14ac:dyDescent="0.2"/>
  <cols>
    <col min="1" max="1" width="42.6640625" style="5" bestFit="1" customWidth="1"/>
    <col min="2" max="2" width="10.83203125" style="5"/>
    <col min="3" max="3" width="16.83203125" style="10" customWidth="1"/>
    <col min="4" max="4" width="10.83203125" style="10"/>
    <col min="5" max="5" width="14.33203125" style="14" customWidth="1"/>
    <col min="6" max="7" width="14.33203125" style="10" customWidth="1"/>
    <col min="8" max="8" width="14.33203125" style="7" customWidth="1"/>
    <col min="9" max="9" width="14" style="10" customWidth="1"/>
    <col min="10" max="10" width="10.5" style="10" customWidth="1"/>
    <col min="11" max="15" width="10.83203125" style="10"/>
    <col min="16" max="16" width="10.83203125" style="7"/>
    <col min="17" max="17" width="10.83203125" style="10"/>
    <col min="18" max="18" width="15.5" style="20" customWidth="1"/>
    <col min="19" max="22" width="10.83203125" style="5"/>
    <col min="23" max="16384" width="11" style="2"/>
  </cols>
  <sheetData>
    <row r="1" spans="1:26" s="17" customFormat="1" ht="81" customHeight="1" x14ac:dyDescent="0.2">
      <c r="A1" s="17" t="s">
        <v>0</v>
      </c>
      <c r="B1" s="17" t="s">
        <v>1</v>
      </c>
      <c r="C1" s="45" t="s">
        <v>102</v>
      </c>
      <c r="D1" s="45" t="s">
        <v>103</v>
      </c>
      <c r="E1" s="46" t="s">
        <v>104</v>
      </c>
      <c r="F1" s="45" t="s">
        <v>105</v>
      </c>
      <c r="G1" s="45" t="s">
        <v>10</v>
      </c>
      <c r="H1" s="18" t="s">
        <v>87</v>
      </c>
      <c r="I1" s="18" t="s">
        <v>2</v>
      </c>
      <c r="J1" s="18" t="s">
        <v>3</v>
      </c>
      <c r="K1" s="45" t="s">
        <v>4</v>
      </c>
      <c r="L1" s="18" t="s">
        <v>5</v>
      </c>
      <c r="M1" s="18" t="s">
        <v>6</v>
      </c>
      <c r="N1" s="45" t="s">
        <v>106</v>
      </c>
      <c r="O1" s="45" t="s">
        <v>107</v>
      </c>
      <c r="P1" s="45" t="s">
        <v>108</v>
      </c>
      <c r="Q1" s="45" t="s">
        <v>109</v>
      </c>
      <c r="R1" s="19" t="s">
        <v>7</v>
      </c>
      <c r="S1" s="17" t="s">
        <v>8</v>
      </c>
      <c r="T1" s="17" t="s">
        <v>101</v>
      </c>
      <c r="U1" s="17" t="s">
        <v>9</v>
      </c>
      <c r="V1" s="17" t="s">
        <v>100</v>
      </c>
    </row>
    <row r="2" spans="1:26" ht="16" x14ac:dyDescent="0.2">
      <c r="A2" s="2" t="s">
        <v>11</v>
      </c>
      <c r="B2" s="5">
        <v>2014</v>
      </c>
      <c r="C2" s="12">
        <v>2.44</v>
      </c>
      <c r="D2" s="4">
        <v>1.4613221570245438</v>
      </c>
      <c r="E2" s="9">
        <v>-6.971977592255341E-4</v>
      </c>
      <c r="F2" s="11">
        <v>1.0261</v>
      </c>
      <c r="G2" s="8">
        <v>136.6875</v>
      </c>
      <c r="H2" s="7">
        <v>-24.4615528300771</v>
      </c>
      <c r="I2" s="4">
        <v>590205.60493949999</v>
      </c>
      <c r="J2" s="11">
        <v>4.4903666666666666</v>
      </c>
      <c r="K2" s="11">
        <v>37.759099999999997</v>
      </c>
      <c r="L2" s="7">
        <v>1</v>
      </c>
      <c r="M2" s="8">
        <v>297.02809999999999</v>
      </c>
      <c r="N2" s="8">
        <v>12.66877942049414</v>
      </c>
      <c r="O2" s="8">
        <v>0.10486471449424581</v>
      </c>
      <c r="P2" s="8">
        <v>1.1300910977766306E-4</v>
      </c>
      <c r="Q2" s="8">
        <v>1.7759180581328724</v>
      </c>
      <c r="R2" s="3">
        <v>1.3929783630342869E-2</v>
      </c>
      <c r="S2" s="33">
        <v>-3.0915019181547123E-2</v>
      </c>
      <c r="T2" s="5">
        <v>47.2</v>
      </c>
      <c r="U2" s="34">
        <v>0.31237478333333329</v>
      </c>
      <c r="V2">
        <v>493.757329875312</v>
      </c>
      <c r="X2" s="4"/>
      <c r="Y2" s="4"/>
      <c r="Z2" s="4"/>
    </row>
    <row r="3" spans="1:26" ht="16" x14ac:dyDescent="0.2">
      <c r="A3" s="2" t="s">
        <v>11</v>
      </c>
      <c r="B3" s="5">
        <v>2015</v>
      </c>
      <c r="C3" s="12">
        <v>2.76</v>
      </c>
      <c r="D3" s="4">
        <v>0.36592609436266138</v>
      </c>
      <c r="E3" s="9">
        <v>1.1595912673541433E-2</v>
      </c>
      <c r="F3" s="11">
        <v>1.0212000000000001</v>
      </c>
      <c r="G3" s="8">
        <v>33.36</v>
      </c>
      <c r="H3" s="7">
        <v>-75.593964334705106</v>
      </c>
      <c r="I3" s="4">
        <v>690587.56632019999</v>
      </c>
      <c r="J3" s="11">
        <v>3.9</v>
      </c>
      <c r="K3" s="11">
        <v>36.137099999999997</v>
      </c>
      <c r="L3" s="7">
        <v>1</v>
      </c>
      <c r="M3" s="8">
        <v>301.14319999999998</v>
      </c>
      <c r="N3" s="8">
        <v>12.543593186060217</v>
      </c>
      <c r="O3" s="8">
        <v>0.10593395962439373</v>
      </c>
      <c r="P3" s="8">
        <v>1.0917120967255206E-4</v>
      </c>
      <c r="Q3" s="8">
        <v>1.3019274324866892</v>
      </c>
      <c r="R3" s="3">
        <v>1.6342351484245905E-2</v>
      </c>
      <c r="S3" s="33">
        <v>-1.4834801845660568E-2</v>
      </c>
      <c r="T3" s="5">
        <v>49.2</v>
      </c>
      <c r="U3" s="34">
        <v>0.24796339999999997</v>
      </c>
      <c r="V3">
        <v>591.21169798260996</v>
      </c>
      <c r="X3" s="4"/>
    </row>
    <row r="4" spans="1:26" ht="16" x14ac:dyDescent="0.2">
      <c r="A4" s="2" t="s">
        <v>11</v>
      </c>
      <c r="B4" s="5">
        <v>2016</v>
      </c>
      <c r="C4" s="12">
        <v>3.5</v>
      </c>
      <c r="D4" s="4">
        <v>1.2414781969435418</v>
      </c>
      <c r="E4" s="9">
        <v>5.4264125816363617E-3</v>
      </c>
      <c r="F4" s="11">
        <v>1.0627</v>
      </c>
      <c r="G4" s="8">
        <v>33.479999999999997</v>
      </c>
      <c r="H4" s="7">
        <v>0.35971223021581999</v>
      </c>
      <c r="I4" s="4">
        <v>512108.03294439998</v>
      </c>
      <c r="J4" s="11">
        <v>4.4000000000000004</v>
      </c>
      <c r="K4" s="11">
        <v>40.427199999999999</v>
      </c>
      <c r="L4" s="7">
        <v>1</v>
      </c>
      <c r="M4" s="8">
        <v>241.67420000000001</v>
      </c>
      <c r="N4" s="8">
        <v>12.510878753699711</v>
      </c>
      <c r="O4" s="8">
        <v>0.11426064554866769</v>
      </c>
      <c r="P4" s="8">
        <v>1.1833124282699784E-4</v>
      </c>
      <c r="Q4" s="8">
        <v>0.83286314363298797</v>
      </c>
      <c r="R4" s="3">
        <v>1.5742142959966281E-2</v>
      </c>
      <c r="S4" s="33">
        <v>3.0077789031008589E-2</v>
      </c>
      <c r="T4" s="5">
        <v>45</v>
      </c>
      <c r="U4" s="34">
        <v>0.3312161666666667</v>
      </c>
      <c r="V4">
        <v>592.60561506302201</v>
      </c>
      <c r="X4" s="4"/>
    </row>
    <row r="5" spans="1:26" ht="16" x14ac:dyDescent="0.2">
      <c r="A5" s="2" t="s">
        <v>11</v>
      </c>
      <c r="B5" s="5">
        <v>2017</v>
      </c>
      <c r="C5" s="12">
        <v>4.05</v>
      </c>
      <c r="D5" s="4">
        <v>-0.81049855037146989</v>
      </c>
      <c r="E5" s="9">
        <v>2.5179084774210297E-2</v>
      </c>
      <c r="F5" s="11">
        <v>1.1194999999999999</v>
      </c>
      <c r="G5" s="8">
        <v>36.840000000000003</v>
      </c>
      <c r="H5" s="7">
        <v>10.0358422939068</v>
      </c>
      <c r="I5" s="4">
        <v>529989.21168209997</v>
      </c>
      <c r="J5" s="11">
        <v>3.9323999999999999</v>
      </c>
      <c r="K5" s="11">
        <v>42</v>
      </c>
      <c r="L5" s="7">
        <v>1</v>
      </c>
      <c r="M5" s="8">
        <v>217.45939999999999</v>
      </c>
      <c r="N5" s="8">
        <v>12.622769141475294</v>
      </c>
      <c r="O5" s="8">
        <v>4.5572204732365409E-2</v>
      </c>
      <c r="P5" s="8">
        <v>1.3415146654465631E-4</v>
      </c>
      <c r="Q5" s="8">
        <v>0.64070014275564036</v>
      </c>
      <c r="R5" s="3">
        <v>1.373532095388298E-2</v>
      </c>
      <c r="S5" s="33">
        <v>0.10400088774297593</v>
      </c>
      <c r="T5" s="5">
        <v>44.4</v>
      </c>
      <c r="U5" s="34">
        <v>0.30180815833333335</v>
      </c>
      <c r="V5">
        <v>580.65674958785803</v>
      </c>
      <c r="X5" s="4"/>
    </row>
    <row r="6" spans="1:26" ht="16" x14ac:dyDescent="0.2">
      <c r="A6" s="2" t="s">
        <v>11</v>
      </c>
      <c r="B6" s="5">
        <v>2018</v>
      </c>
      <c r="C6" s="12">
        <v>4.42</v>
      </c>
      <c r="D6" s="4">
        <v>2.3784344637560104</v>
      </c>
      <c r="E6" s="9">
        <v>-9.6700883012690846E-3</v>
      </c>
      <c r="F6" s="11">
        <v>1.0825</v>
      </c>
      <c r="G6" s="8">
        <v>59.45</v>
      </c>
      <c r="H6" s="7">
        <v>61.373507057546099</v>
      </c>
      <c r="I6" s="4">
        <v>687623.44415520004</v>
      </c>
      <c r="J6" s="11">
        <v>4.1749000000000001</v>
      </c>
      <c r="K6" s="11">
        <v>44.185099999999998</v>
      </c>
      <c r="L6" s="7">
        <v>1</v>
      </c>
      <c r="M6" s="8">
        <v>159.05549999999999</v>
      </c>
      <c r="N6" s="8">
        <v>12.619984095981765</v>
      </c>
      <c r="O6" s="8">
        <v>4.8507905571119142E-2</v>
      </c>
      <c r="P6" s="8">
        <v>1.2196547501814227E-4</v>
      </c>
      <c r="Q6" s="8">
        <v>0.60742729791625971</v>
      </c>
      <c r="R6" s="3">
        <v>1.2398244471367524E-2</v>
      </c>
      <c r="S6" s="33">
        <v>0.11043420027417027</v>
      </c>
      <c r="T6" s="5">
        <v>44.1</v>
      </c>
      <c r="U6" s="34">
        <v>0.21956370000000003</v>
      </c>
      <c r="V6">
        <v>555.44645839822601</v>
      </c>
      <c r="X6" s="4"/>
    </row>
    <row r="7" spans="1:26" ht="16" x14ac:dyDescent="0.2">
      <c r="A7" s="2" t="s">
        <v>11</v>
      </c>
      <c r="B7" s="5">
        <v>2019</v>
      </c>
      <c r="C7" s="12">
        <v>4.62</v>
      </c>
      <c r="D7" s="4">
        <v>3.223548194121026</v>
      </c>
      <c r="E7" s="9">
        <v>-1.9926390226005949E-2</v>
      </c>
      <c r="F7" s="11">
        <v>1.1351</v>
      </c>
      <c r="G7" s="8">
        <v>30.904</v>
      </c>
      <c r="H7" s="7">
        <v>-48.016820857863799</v>
      </c>
      <c r="I7" s="4">
        <v>583436.21282100002</v>
      </c>
      <c r="J7" s="11">
        <v>4.2769000000000004</v>
      </c>
      <c r="K7" s="11">
        <v>47.729700000000001</v>
      </c>
      <c r="L7" s="7">
        <v>1</v>
      </c>
      <c r="M7" s="8">
        <v>76.486999999999995</v>
      </c>
      <c r="N7" s="8">
        <v>12.605328818029115</v>
      </c>
      <c r="O7" s="8">
        <v>4.413325517590487E-2</v>
      </c>
      <c r="P7" s="8">
        <v>1.2477230312465064E-4</v>
      </c>
      <c r="Q7" s="8">
        <v>0.56269337478270642</v>
      </c>
      <c r="R7" s="3">
        <v>1.1195042617410531E-2</v>
      </c>
      <c r="S7" s="33">
        <v>7.3452735650900214E-2</v>
      </c>
      <c r="T7" s="5">
        <v>43</v>
      </c>
      <c r="U7" s="34">
        <v>0.13867664166666668</v>
      </c>
      <c r="V7">
        <v>585.91101318036897</v>
      </c>
      <c r="X7" s="4"/>
    </row>
    <row r="8" spans="1:26" ht="16" x14ac:dyDescent="0.2">
      <c r="A8" s="2" t="s">
        <v>11</v>
      </c>
      <c r="B8" s="5">
        <v>2020</v>
      </c>
      <c r="C8" s="4">
        <v>4.09</v>
      </c>
      <c r="D8" s="4">
        <v>4.0444044657057665</v>
      </c>
      <c r="E8" s="9">
        <v>-1.4584298612377094E-2</v>
      </c>
      <c r="F8" s="4">
        <v>1.1140000000000001</v>
      </c>
      <c r="G8" s="4">
        <v>39.610999999999997</v>
      </c>
      <c r="H8" s="7">
        <v>28.1743463629304</v>
      </c>
      <c r="I8" s="4">
        <v>561849.06383760006</v>
      </c>
      <c r="J8" s="4">
        <v>4.6125999999999996</v>
      </c>
      <c r="K8" s="4">
        <v>42.377899999999997</v>
      </c>
      <c r="L8" s="7">
        <v>1</v>
      </c>
      <c r="M8" s="4">
        <v>52.574300000000001</v>
      </c>
      <c r="N8" s="4">
        <v>12.526136759286265</v>
      </c>
      <c r="O8" s="4">
        <v>5.2602033497951659E-2</v>
      </c>
      <c r="P8" s="7">
        <v>1.4739880393204244E-4</v>
      </c>
      <c r="Q8" s="4">
        <v>0.48378781930954656</v>
      </c>
      <c r="R8" s="3">
        <v>1.099291512235809E-2</v>
      </c>
      <c r="S8" s="33">
        <v>-8.0002386939810141E-2</v>
      </c>
      <c r="T8" s="5">
        <v>42.9</v>
      </c>
      <c r="U8" s="34">
        <v>0.15699912500000002</v>
      </c>
      <c r="V8">
        <v>575.58600451094503</v>
      </c>
      <c r="X8" s="4"/>
    </row>
    <row r="9" spans="1:26" ht="16" x14ac:dyDescent="0.2">
      <c r="A9" s="2" t="s">
        <v>11</v>
      </c>
      <c r="B9" s="5">
        <v>2021</v>
      </c>
      <c r="C9" s="4">
        <v>5.04</v>
      </c>
      <c r="D9" s="4">
        <v>0.85718853919274951</v>
      </c>
      <c r="E9" s="9">
        <v>4.0621345700395869E-3</v>
      </c>
      <c r="F9" s="4">
        <v>1.1464000000000001</v>
      </c>
      <c r="G9" s="4">
        <v>45.539000000000001</v>
      </c>
      <c r="H9" s="7">
        <v>14.965539875287201</v>
      </c>
      <c r="I9" s="4">
        <v>495721.91130320006</v>
      </c>
      <c r="J9" s="4">
        <v>4.8708999999999998</v>
      </c>
      <c r="K9" s="4">
        <v>43.9711</v>
      </c>
      <c r="L9" s="7">
        <v>1</v>
      </c>
      <c r="M9" s="4">
        <v>58.310699999999997</v>
      </c>
      <c r="N9" s="4">
        <v>12.40337285181533</v>
      </c>
      <c r="O9" s="4">
        <v>5.784771084602832E-2</v>
      </c>
      <c r="P9" s="7">
        <v>1.3627672785817389E-4</v>
      </c>
      <c r="Q9" s="4">
        <v>0.27480369254005144</v>
      </c>
      <c r="R9" s="3">
        <v>1.207578611095686E-2</v>
      </c>
      <c r="S9" s="33">
        <v>1.0212251572429743E-2</v>
      </c>
      <c r="T9" s="5">
        <v>43.4</v>
      </c>
      <c r="U9" s="34">
        <v>0.20469052499999998</v>
      </c>
      <c r="V9">
        <v>554.53067503310399</v>
      </c>
      <c r="X9" s="4"/>
    </row>
    <row r="10" spans="1:26" ht="16" x14ac:dyDescent="0.2">
      <c r="A10" s="2" t="s">
        <v>11</v>
      </c>
      <c r="B10" s="5">
        <v>2022</v>
      </c>
      <c r="C10" s="4">
        <v>5.43</v>
      </c>
      <c r="D10" s="4">
        <v>0.37835444970758542</v>
      </c>
      <c r="E10" s="9">
        <v>6.9358766477476278E-3</v>
      </c>
      <c r="F10" s="4">
        <v>1.1382000000000001</v>
      </c>
      <c r="G10" s="4">
        <v>50.446199999999997</v>
      </c>
      <c r="H10" s="7">
        <v>10.775818529172801</v>
      </c>
      <c r="I10" s="4">
        <v>457654.11371909996</v>
      </c>
      <c r="J10" s="4">
        <v>5.0744999999999996</v>
      </c>
      <c r="K10" s="4">
        <v>47.0749</v>
      </c>
      <c r="L10" s="7">
        <v>1</v>
      </c>
      <c r="M10" s="4">
        <v>53.538200000000003</v>
      </c>
      <c r="N10" s="4">
        <v>12.489047796537172</v>
      </c>
      <c r="O10" s="4">
        <v>5.4084596039359119E-2</v>
      </c>
      <c r="P10" s="7">
        <v>1.0963985353969274E-4</v>
      </c>
      <c r="Q10" s="4">
        <v>0.24291844532964926</v>
      </c>
      <c r="R10" s="3">
        <v>1.1556179966399767E-2</v>
      </c>
      <c r="S10" s="33">
        <v>-2.0229648711727066E-2</v>
      </c>
      <c r="T10" s="5">
        <v>44.8</v>
      </c>
      <c r="U10" s="34">
        <v>0.23766538333333329</v>
      </c>
      <c r="V10">
        <v>623.75970091118199</v>
      </c>
      <c r="X10" s="4"/>
    </row>
    <row r="12" spans="1:26" ht="16" x14ac:dyDescent="0.2">
      <c r="A12" s="2" t="s">
        <v>12</v>
      </c>
      <c r="B12" s="5">
        <v>2014</v>
      </c>
      <c r="C12" s="8">
        <v>4.9383341225013986</v>
      </c>
      <c r="D12" s="4">
        <v>2.1617147789921063</v>
      </c>
      <c r="E12" s="9">
        <v>-7.7048899265185341E-3</v>
      </c>
      <c r="F12" s="8">
        <v>1.1232</v>
      </c>
      <c r="G12" s="4">
        <f>850849+539916+1711620+678</f>
        <v>3103063</v>
      </c>
      <c r="H12" s="7">
        <v>-3.8573995302338</v>
      </c>
      <c r="I12" s="4">
        <v>4274169.924172</v>
      </c>
      <c r="J12" s="8">
        <v>3.3033000000000001</v>
      </c>
      <c r="K12" s="8">
        <v>37.508000000000003</v>
      </c>
      <c r="L12" s="7">
        <v>1</v>
      </c>
      <c r="M12" s="8">
        <v>91.374200000000002</v>
      </c>
      <c r="N12" s="8">
        <v>14.808652356409057</v>
      </c>
      <c r="O12" s="8">
        <v>3.3207434574749645E-2</v>
      </c>
      <c r="P12" s="11">
        <v>1281.3807785888077</v>
      </c>
      <c r="Q12" s="8">
        <v>0.63194965614204834</v>
      </c>
      <c r="R12" s="3">
        <v>9.3763242183902574E-3</v>
      </c>
      <c r="S12" s="33">
        <v>-3.0915019181547123E-2</v>
      </c>
      <c r="T12" s="5">
        <v>47.2</v>
      </c>
      <c r="U12" s="34">
        <v>0.31237478333333329</v>
      </c>
      <c r="V12">
        <v>493.757329875312</v>
      </c>
      <c r="X12" s="4"/>
    </row>
    <row r="13" spans="1:26" ht="16" x14ac:dyDescent="0.2">
      <c r="A13" s="2" t="s">
        <v>12</v>
      </c>
      <c r="B13" s="5">
        <v>2015</v>
      </c>
      <c r="C13" s="8">
        <v>4.2260690884085461</v>
      </c>
      <c r="D13" s="4">
        <v>2.081928728312672</v>
      </c>
      <c r="E13" s="9">
        <v>-4.5587695450880657E-3</v>
      </c>
      <c r="F13" s="8">
        <v>1.0354000000000001</v>
      </c>
      <c r="G13" s="4">
        <f>1084884+607349+1839229+1778</f>
        <v>3533240</v>
      </c>
      <c r="H13" s="7">
        <v>13.862979900827021</v>
      </c>
      <c r="I13" s="4">
        <v>5899568.4606374996</v>
      </c>
      <c r="J13" s="8">
        <v>3.2381000000000002</v>
      </c>
      <c r="K13" s="8">
        <v>35.5991</v>
      </c>
      <c r="L13" s="7">
        <v>1</v>
      </c>
      <c r="M13" s="8">
        <v>88.59</v>
      </c>
      <c r="N13" s="8">
        <v>14.83591232822454</v>
      </c>
      <c r="O13" s="8">
        <v>3.5331658582548484E-2</v>
      </c>
      <c r="P13" s="11">
        <v>1081.5564650388458</v>
      </c>
      <c r="Q13" s="8">
        <v>0.67363383971554835</v>
      </c>
      <c r="R13" s="3">
        <v>9.6968286300745041E-3</v>
      </c>
      <c r="S13" s="33">
        <v>-1.4834801845660568E-2</v>
      </c>
      <c r="T13" s="5">
        <v>49.2</v>
      </c>
      <c r="U13" s="34">
        <v>0.24796339999999997</v>
      </c>
      <c r="V13">
        <v>591.21169798260996</v>
      </c>
    </row>
    <row r="14" spans="1:26" ht="16" x14ac:dyDescent="0.2">
      <c r="A14" s="2" t="s">
        <v>12</v>
      </c>
      <c r="B14" s="5">
        <v>2016</v>
      </c>
      <c r="C14" s="8">
        <v>4.1206986124417373</v>
      </c>
      <c r="D14" s="4">
        <v>1.833334868561465</v>
      </c>
      <c r="E14" s="9">
        <v>-2.3158896838716637E-4</v>
      </c>
      <c r="F14" s="8">
        <v>1.0630999999999999</v>
      </c>
      <c r="G14" s="4">
        <f>1230987+678773+1956464+4044+104</f>
        <v>3870372</v>
      </c>
      <c r="H14" s="7">
        <v>9.5417237436460596</v>
      </c>
      <c r="I14" s="4">
        <v>5759338.0500940001</v>
      </c>
      <c r="J14" s="8">
        <v>3.3064</v>
      </c>
      <c r="K14" s="8">
        <v>38.729500000000002</v>
      </c>
      <c r="L14" s="7">
        <v>1</v>
      </c>
      <c r="M14" s="8">
        <v>65.321299999999994</v>
      </c>
      <c r="N14" s="8">
        <v>14.884701979610673</v>
      </c>
      <c r="O14" s="8">
        <v>3.9894373557609365E-2</v>
      </c>
      <c r="P14" s="11">
        <v>1131.1220002793686</v>
      </c>
      <c r="Q14" s="8">
        <v>0.5744805102735252</v>
      </c>
      <c r="R14" s="3">
        <v>9.5695303653808763E-3</v>
      </c>
      <c r="S14" s="33">
        <v>3.0077789031008589E-2</v>
      </c>
      <c r="T14" s="5">
        <v>45</v>
      </c>
      <c r="U14" s="34">
        <v>0.3312161666666667</v>
      </c>
      <c r="V14">
        <v>592.60561506302201</v>
      </c>
    </row>
    <row r="15" spans="1:26" ht="16" x14ac:dyDescent="0.2">
      <c r="A15" s="2" t="s">
        <v>12</v>
      </c>
      <c r="B15" s="5">
        <v>2017</v>
      </c>
      <c r="C15" s="8">
        <v>3.6251046375725329</v>
      </c>
      <c r="D15" s="4">
        <v>4.7324443495076283</v>
      </c>
      <c r="E15" s="9">
        <v>-3.8916752633122727E-2</v>
      </c>
      <c r="F15" s="8">
        <v>1.0482</v>
      </c>
      <c r="G15" s="4">
        <f>1272731+622365+2084536+11905+706</f>
        <v>3992243</v>
      </c>
      <c r="H15" s="7">
        <v>3.1488187698753509</v>
      </c>
      <c r="I15" s="4">
        <v>6556101.4215280004</v>
      </c>
      <c r="J15" s="8">
        <v>3.2700999999999998</v>
      </c>
      <c r="K15" s="8">
        <v>42.320799999999998</v>
      </c>
      <c r="L15" s="7">
        <v>1</v>
      </c>
      <c r="M15" s="8">
        <v>57.961300000000001</v>
      </c>
      <c r="N15" s="8">
        <v>14.922101605180524</v>
      </c>
      <c r="O15" s="8">
        <v>4.4227171236669263E-2</v>
      </c>
      <c r="P15" s="11">
        <v>1252.2153468385513</v>
      </c>
      <c r="Q15" s="8">
        <v>0.61309644304031474</v>
      </c>
      <c r="R15" s="3">
        <v>9.7241246298092384E-3</v>
      </c>
      <c r="S15" s="33">
        <v>0.10400088774297593</v>
      </c>
      <c r="T15" s="5">
        <v>44.4</v>
      </c>
      <c r="U15" s="34">
        <v>0.30180815833333335</v>
      </c>
      <c r="V15">
        <v>580.65674958785803</v>
      </c>
    </row>
    <row r="16" spans="1:26" ht="16" x14ac:dyDescent="0.2">
      <c r="A16" s="2" t="s">
        <v>12</v>
      </c>
      <c r="B16" s="5">
        <v>2018</v>
      </c>
      <c r="C16" s="8">
        <v>3.2467671165197998</v>
      </c>
      <c r="D16" s="4">
        <v>0.39383128876610535</v>
      </c>
      <c r="E16" s="9">
        <v>1.1473861375985363E-2</v>
      </c>
      <c r="F16" s="8">
        <v>1.0229999999999999</v>
      </c>
      <c r="G16" s="4">
        <f>1193247+560999+2310489+7205+56</f>
        <v>4071996</v>
      </c>
      <c r="H16" s="7">
        <v>1.9976990378591681</v>
      </c>
      <c r="I16" s="4">
        <v>7038920.82785</v>
      </c>
      <c r="J16" s="8">
        <v>3.2477</v>
      </c>
      <c r="K16" s="8">
        <v>46.779499999999999</v>
      </c>
      <c r="L16" s="7">
        <v>1</v>
      </c>
      <c r="M16" s="8">
        <v>69.303600000000003</v>
      </c>
      <c r="N16" s="8">
        <v>14.97469715345755</v>
      </c>
      <c r="O16" s="8">
        <v>4.8245589824349781E-2</v>
      </c>
      <c r="P16" s="11">
        <v>1456.6972329571806</v>
      </c>
      <c r="Q16" s="8">
        <v>0.66156053399199788</v>
      </c>
      <c r="R16" s="3">
        <v>9.9117035093171536E-3</v>
      </c>
      <c r="S16" s="33">
        <v>0.11043420027417027</v>
      </c>
      <c r="T16" s="5">
        <v>44.1</v>
      </c>
      <c r="U16" s="34">
        <v>0.21956370000000003</v>
      </c>
      <c r="V16">
        <v>555.44645839822601</v>
      </c>
    </row>
    <row r="17" spans="1:24" ht="16" x14ac:dyDescent="0.2">
      <c r="A17" s="2" t="s">
        <v>12</v>
      </c>
      <c r="B17" s="5">
        <v>2019</v>
      </c>
      <c r="C17" s="8">
        <v>3.3398651126649934</v>
      </c>
      <c r="D17" s="4">
        <v>0.21337595631145287</v>
      </c>
      <c r="E17" s="9">
        <v>1.1972090460540912E-2</v>
      </c>
      <c r="F17" s="8">
        <v>1.0046999999999999</v>
      </c>
      <c r="G17" s="4">
        <f>1973372+2162180+9005+103</f>
        <v>4144660</v>
      </c>
      <c r="H17" s="7">
        <v>1.7844811242447194</v>
      </c>
      <c r="I17" s="4">
        <v>8521067.0417569019</v>
      </c>
      <c r="J17" s="8">
        <v>3.3641999999999999</v>
      </c>
      <c r="K17" s="8">
        <v>42.475499999999997</v>
      </c>
      <c r="L17" s="7">
        <v>1</v>
      </c>
      <c r="M17" s="8">
        <v>58.778300000000002</v>
      </c>
      <c r="N17" s="8">
        <v>14.901964674353389</v>
      </c>
      <c r="O17" s="8">
        <v>5.4060527384529718E-2</v>
      </c>
      <c r="P17" s="11">
        <v>1598.6288064461978</v>
      </c>
      <c r="Q17" s="8">
        <v>0.60055048077972661</v>
      </c>
      <c r="R17" s="3">
        <v>9.7886618251840918E-3</v>
      </c>
      <c r="S17" s="33">
        <v>7.3452735650900214E-2</v>
      </c>
      <c r="T17" s="5">
        <v>43</v>
      </c>
      <c r="U17" s="34">
        <v>0.13867664166666668</v>
      </c>
      <c r="V17">
        <v>585.91101318036897</v>
      </c>
    </row>
    <row r="18" spans="1:24" ht="16" x14ac:dyDescent="0.2">
      <c r="A18" s="2" t="s">
        <v>12</v>
      </c>
      <c r="B18" s="5">
        <v>2020</v>
      </c>
      <c r="C18" s="8">
        <v>2.2980234282591452</v>
      </c>
      <c r="D18" s="4">
        <v>2.1288850559288663</v>
      </c>
      <c r="E18" s="9">
        <v>9.9277313272335826E-3</v>
      </c>
      <c r="F18" s="8">
        <v>0.96509999999999996</v>
      </c>
      <c r="G18" s="4">
        <f>1823315+1952029+12724+195</f>
        <v>3788263</v>
      </c>
      <c r="H18" s="7">
        <v>-8.5989441836001017</v>
      </c>
      <c r="I18" s="4">
        <v>10146269.152953099</v>
      </c>
      <c r="J18" s="8">
        <v>18.438400000000001</v>
      </c>
      <c r="K18" s="8">
        <v>44.4129</v>
      </c>
      <c r="L18" s="7">
        <v>1</v>
      </c>
      <c r="M18" s="8">
        <v>67.766599999999997</v>
      </c>
      <c r="N18" s="8">
        <v>15.002861029306747</v>
      </c>
      <c r="O18" s="8">
        <v>6.143495646811338E-2</v>
      </c>
      <c r="P18" s="11">
        <v>1725.6531751336897</v>
      </c>
      <c r="Q18" s="8">
        <v>0.63402086117331025</v>
      </c>
      <c r="R18" s="3">
        <v>9.3773627463861007E-3</v>
      </c>
      <c r="S18" s="33">
        <v>-8.0002386939810141E-2</v>
      </c>
      <c r="T18" s="5">
        <v>42.9</v>
      </c>
      <c r="U18" s="34">
        <v>0.15699912500000002</v>
      </c>
      <c r="V18">
        <v>575.58600451094503</v>
      </c>
    </row>
    <row r="19" spans="1:24" ht="16" x14ac:dyDescent="0.2">
      <c r="A19" s="2" t="s">
        <v>12</v>
      </c>
      <c r="B19" s="5">
        <v>2021</v>
      </c>
      <c r="C19" s="8">
        <v>2.7941816522672691</v>
      </c>
      <c r="D19" s="4">
        <v>3.2324388847725483</v>
      </c>
      <c r="E19" s="9">
        <v>-1.2085244406395636E-2</v>
      </c>
      <c r="F19" s="8">
        <v>0.99709999999999999</v>
      </c>
      <c r="G19" s="4">
        <v>3554048</v>
      </c>
      <c r="H19" s="7">
        <v>-6.182648881558646</v>
      </c>
      <c r="I19" s="4">
        <v>10911547.644215999</v>
      </c>
      <c r="J19" s="8">
        <v>17.0425</v>
      </c>
      <c r="K19" s="8">
        <v>42.431199999999997</v>
      </c>
      <c r="L19" s="7">
        <v>1</v>
      </c>
      <c r="M19" s="8">
        <v>60.194000000000003</v>
      </c>
      <c r="N19" s="8">
        <v>15.013836920499051</v>
      </c>
      <c r="O19" s="8">
        <v>6.5350811791345789E-2</v>
      </c>
      <c r="P19" s="11">
        <v>1520.5307297949337</v>
      </c>
      <c r="Q19" s="8">
        <v>0.38469999167746044</v>
      </c>
      <c r="R19" s="3">
        <v>9.3895434745421714E-3</v>
      </c>
      <c r="S19" s="33">
        <v>1.0212251572429743E-2</v>
      </c>
      <c r="T19" s="5">
        <v>43.4</v>
      </c>
      <c r="U19" s="34">
        <v>0.20469052499999998</v>
      </c>
      <c r="V19">
        <v>554.53067503310399</v>
      </c>
    </row>
    <row r="20" spans="1:24" ht="16" x14ac:dyDescent="0.2">
      <c r="A20" s="2" t="s">
        <v>12</v>
      </c>
      <c r="B20" s="5">
        <v>2022</v>
      </c>
      <c r="C20" s="8">
        <v>2.8661401586785984</v>
      </c>
      <c r="D20" s="4">
        <v>4.4172787131212088</v>
      </c>
      <c r="E20" s="9">
        <v>-2.6111101484955757E-2</v>
      </c>
      <c r="F20" s="8">
        <v>0.9708</v>
      </c>
      <c r="G20" s="4">
        <v>3698284</v>
      </c>
      <c r="H20" s="7">
        <v>4.0583582438954116</v>
      </c>
      <c r="I20" s="4">
        <v>9532906.6691851988</v>
      </c>
      <c r="J20" s="8">
        <v>3.2734999999999999</v>
      </c>
      <c r="K20" s="8">
        <v>45.329000000000001</v>
      </c>
      <c r="L20" s="7">
        <v>1</v>
      </c>
      <c r="M20" s="8">
        <v>56.743699999999997</v>
      </c>
      <c r="N20" s="8">
        <v>15.055174489450048</v>
      </c>
      <c r="O20" s="8">
        <v>6.2121932895674463E-2</v>
      </c>
      <c r="P20" s="11">
        <v>1368.0828314997104</v>
      </c>
      <c r="Q20" s="8">
        <v>0.37917094704408449</v>
      </c>
      <c r="R20" s="3">
        <v>9.3776404590600725E-3</v>
      </c>
      <c r="S20" s="33">
        <v>-2.0229648711727066E-2</v>
      </c>
      <c r="T20" s="5">
        <v>44.8</v>
      </c>
      <c r="U20" s="34">
        <v>0.23766538333333329</v>
      </c>
      <c r="V20">
        <v>623.75970091118199</v>
      </c>
    </row>
    <row r="21" spans="1:24" x14ac:dyDescent="0.2">
      <c r="C21" s="8"/>
      <c r="E21" s="9"/>
      <c r="F21" s="8"/>
      <c r="G21" s="4"/>
      <c r="I21" s="4"/>
      <c r="J21" s="8"/>
      <c r="K21" s="8"/>
      <c r="L21" s="7"/>
      <c r="M21" s="8"/>
      <c r="N21" s="8"/>
      <c r="O21" s="8"/>
      <c r="P21" s="11"/>
      <c r="Q21" s="8"/>
      <c r="R21" s="3"/>
    </row>
    <row r="22" spans="1:24" ht="16" x14ac:dyDescent="0.2">
      <c r="A22" s="2" t="s">
        <v>13</v>
      </c>
      <c r="B22" s="5">
        <v>2014</v>
      </c>
      <c r="C22" s="8">
        <v>4.8623257454748758</v>
      </c>
      <c r="D22" s="4">
        <v>0.81943775215781889</v>
      </c>
      <c r="E22" s="6">
        <v>4.5544289683260445E-3</v>
      </c>
      <c r="F22" s="8">
        <v>1.0169999999999999</v>
      </c>
      <c r="G22" s="4">
        <v>1307580</v>
      </c>
      <c r="H22" s="7">
        <v>24.868573720473851</v>
      </c>
      <c r="I22" s="4">
        <v>4504692.6848758003</v>
      </c>
      <c r="J22" s="8">
        <v>2.5206</v>
      </c>
      <c r="K22" s="8">
        <v>43.388300000000001</v>
      </c>
      <c r="L22" s="7">
        <v>1</v>
      </c>
      <c r="M22" s="8">
        <v>89.660600000000002</v>
      </c>
      <c r="N22" s="8">
        <v>14.83070143219096</v>
      </c>
      <c r="O22" s="8">
        <v>5.1906347950905096E-2</v>
      </c>
      <c r="P22" s="11">
        <v>1818.1978406326034</v>
      </c>
      <c r="Q22" s="8">
        <v>0.99065716490065092</v>
      </c>
      <c r="R22" s="3">
        <v>8.6597385075707564E-3</v>
      </c>
      <c r="S22" s="33">
        <v>-3.0915019181547123E-2</v>
      </c>
      <c r="T22" s="5">
        <v>47.2</v>
      </c>
      <c r="U22" s="34">
        <v>0.31237478333333329</v>
      </c>
      <c r="V22">
        <v>493.757329875312</v>
      </c>
      <c r="X22" s="4"/>
    </row>
    <row r="23" spans="1:24" ht="16" x14ac:dyDescent="0.2">
      <c r="A23" s="2" t="s">
        <v>13</v>
      </c>
      <c r="B23" s="5">
        <v>2015</v>
      </c>
      <c r="C23" s="8">
        <v>4.4515815317576832</v>
      </c>
      <c r="D23" s="4">
        <v>1.0380409395892276</v>
      </c>
      <c r="E23" s="6">
        <v>1.88037211736529E-3</v>
      </c>
      <c r="F23" s="8">
        <v>0.97509999999999997</v>
      </c>
      <c r="G23" s="4">
        <v>1740787</v>
      </c>
      <c r="H23" s="7">
        <v>33.130439437739945</v>
      </c>
      <c r="I23" s="4">
        <v>5622644.0835801</v>
      </c>
      <c r="J23" s="8">
        <v>2.2927</v>
      </c>
      <c r="K23" s="8">
        <v>42.235999999999997</v>
      </c>
      <c r="L23" s="7">
        <v>1</v>
      </c>
      <c r="M23" s="8">
        <v>76.766400000000004</v>
      </c>
      <c r="N23" s="8">
        <v>14.85785303657301</v>
      </c>
      <c r="O23" s="8">
        <v>5.6069274238622326E-2</v>
      </c>
      <c r="P23" s="11">
        <v>1700.8730854605994</v>
      </c>
      <c r="Q23" s="8">
        <v>1.080899106012333</v>
      </c>
      <c r="R23" s="3">
        <v>8.9410389078016499E-3</v>
      </c>
      <c r="S23" s="33">
        <v>-1.4834801845660568E-2</v>
      </c>
      <c r="T23" s="5">
        <v>49.2</v>
      </c>
      <c r="U23" s="34">
        <v>0.24796339999999997</v>
      </c>
      <c r="V23">
        <v>591.21169798260996</v>
      </c>
    </row>
    <row r="24" spans="1:24" ht="16" x14ac:dyDescent="0.2">
      <c r="A24" s="2" t="s">
        <v>13</v>
      </c>
      <c r="B24" s="5">
        <v>2016</v>
      </c>
      <c r="C24" s="8">
        <v>4.0565144501323056</v>
      </c>
      <c r="D24" s="4">
        <v>0.7765437487061414</v>
      </c>
      <c r="E24" s="6">
        <v>7.5562586555534229E-3</v>
      </c>
      <c r="F24" s="8">
        <v>0.97470000000000001</v>
      </c>
      <c r="G24" s="4">
        <v>1858965</v>
      </c>
      <c r="H24" s="7">
        <v>6.7887685282576218</v>
      </c>
      <c r="I24" s="4">
        <v>6884198.0926398002</v>
      </c>
      <c r="J24" s="8">
        <v>2.4771000000000001</v>
      </c>
      <c r="K24" s="8">
        <v>47.255899999999997</v>
      </c>
      <c r="L24" s="7">
        <v>1</v>
      </c>
      <c r="M24" s="8">
        <v>74.184799999999996</v>
      </c>
      <c r="N24" s="8">
        <v>14.895357809113706</v>
      </c>
      <c r="O24" s="8">
        <v>6.1810985973839473E-2</v>
      </c>
      <c r="P24" s="11">
        <v>1851.1320575499369</v>
      </c>
      <c r="Q24" s="8">
        <v>0.97261531142830127</v>
      </c>
      <c r="R24" s="3">
        <v>8.9139597234098988E-3</v>
      </c>
      <c r="S24" s="33">
        <v>3.0077789031008589E-2</v>
      </c>
      <c r="T24" s="5">
        <v>45</v>
      </c>
      <c r="U24" s="34">
        <v>0.3312161666666667</v>
      </c>
      <c r="V24">
        <v>592.60561506302201</v>
      </c>
    </row>
    <row r="25" spans="1:24" ht="16" x14ac:dyDescent="0.2">
      <c r="A25" s="2" t="s">
        <v>13</v>
      </c>
      <c r="B25" s="5">
        <v>2017</v>
      </c>
      <c r="C25" s="8">
        <v>4.0484937529212015</v>
      </c>
      <c r="D25" s="4">
        <v>-3.5522444395575028</v>
      </c>
      <c r="E25" s="6">
        <v>4.4923444299367399E-2</v>
      </c>
      <c r="F25" s="8">
        <v>0.99480000000000002</v>
      </c>
      <c r="G25" s="4">
        <v>1926229</v>
      </c>
      <c r="H25" s="7">
        <v>3.6183575269034112</v>
      </c>
      <c r="I25" s="4">
        <v>8741951.2295795996</v>
      </c>
      <c r="J25" s="8">
        <v>2.4504000000000001</v>
      </c>
      <c r="K25" s="8">
        <v>42.993699999999997</v>
      </c>
      <c r="L25" s="7">
        <v>1</v>
      </c>
      <c r="M25" s="8">
        <v>63.391599999999997</v>
      </c>
      <c r="N25" s="8">
        <v>14.939241510888877</v>
      </c>
      <c r="O25" s="8">
        <v>7.0106644802009274E-2</v>
      </c>
      <c r="P25" s="11">
        <v>2006.8354511970535</v>
      </c>
      <c r="Q25" s="8">
        <v>0.94885575269779521</v>
      </c>
      <c r="R25" s="3">
        <v>8.6746838763360392E-3</v>
      </c>
      <c r="S25" s="33">
        <v>0.10400088774297593</v>
      </c>
      <c r="T25" s="5">
        <v>44.4</v>
      </c>
      <c r="U25" s="34">
        <v>0.30180815833333335</v>
      </c>
      <c r="V25">
        <v>580.65674958785803</v>
      </c>
    </row>
    <row r="26" spans="1:24" ht="16" x14ac:dyDescent="0.2">
      <c r="A26" s="2" t="s">
        <v>13</v>
      </c>
      <c r="B26" s="5">
        <v>2018</v>
      </c>
      <c r="C26" s="8">
        <v>4.2015108105907339</v>
      </c>
      <c r="D26" s="4">
        <v>1.0690266174469369</v>
      </c>
      <c r="E26" s="6">
        <v>9.7583004906467432E-4</v>
      </c>
      <c r="F26" s="8">
        <v>0.9919</v>
      </c>
      <c r="G26" s="4">
        <v>2345253</v>
      </c>
      <c r="H26" s="7">
        <v>21.753592122224305</v>
      </c>
      <c r="I26" s="4">
        <v>8013788.1759488005</v>
      </c>
      <c r="J26" s="8">
        <v>2.5333999999999999</v>
      </c>
      <c r="K26" s="8">
        <v>44.994</v>
      </c>
      <c r="L26" s="7">
        <v>1</v>
      </c>
      <c r="M26" s="8">
        <v>63.034700000000001</v>
      </c>
      <c r="N26" s="8">
        <v>14.952301422076955</v>
      </c>
      <c r="O26" s="8">
        <v>7.3689001627457978E-2</v>
      </c>
      <c r="P26" s="11">
        <v>1927.0146235894265</v>
      </c>
      <c r="Q26" s="8">
        <v>0.89165214659045655</v>
      </c>
      <c r="R26" s="3">
        <v>8.9564998092053292E-3</v>
      </c>
      <c r="S26" s="33">
        <v>0.11043420027417027</v>
      </c>
      <c r="T26" s="5">
        <v>44.1</v>
      </c>
      <c r="U26" s="34">
        <v>0.21956370000000003</v>
      </c>
      <c r="V26">
        <v>555.44645839822601</v>
      </c>
    </row>
    <row r="27" spans="1:24" ht="16" x14ac:dyDescent="0.2">
      <c r="A27" s="2" t="s">
        <v>13</v>
      </c>
      <c r="B27" s="5">
        <v>2019</v>
      </c>
      <c r="C27" s="8">
        <v>4.1702663729853677</v>
      </c>
      <c r="D27" s="4">
        <v>-1.7990233424502957</v>
      </c>
      <c r="E27" s="6">
        <v>3.107026156479227E-2</v>
      </c>
      <c r="F27" s="8">
        <v>0.96199999999999997</v>
      </c>
      <c r="G27" s="4">
        <v>2166269</v>
      </c>
      <c r="H27" s="7">
        <v>-7.6317565738110131</v>
      </c>
      <c r="I27" s="4">
        <v>7914796.3852475006</v>
      </c>
      <c r="J27" s="8">
        <v>2.4752999999999998</v>
      </c>
      <c r="K27" s="8">
        <v>40.167999999999999</v>
      </c>
      <c r="L27" s="7">
        <v>1</v>
      </c>
      <c r="M27" s="8">
        <v>66.465599999999995</v>
      </c>
      <c r="N27" s="8">
        <v>14.98387994446842</v>
      </c>
      <c r="O27" s="8">
        <v>8.4779681726921491E-2</v>
      </c>
      <c r="P27" s="11">
        <v>1947.7106261541044</v>
      </c>
      <c r="Q27" s="8">
        <v>0.89543283711633603</v>
      </c>
      <c r="R27" s="3">
        <v>8.6968219547570169E-3</v>
      </c>
      <c r="S27" s="33">
        <v>7.3452735650900214E-2</v>
      </c>
      <c r="T27" s="5">
        <v>43</v>
      </c>
      <c r="U27" s="34">
        <v>0.13867664166666668</v>
      </c>
      <c r="V27">
        <v>585.91101318036897</v>
      </c>
    </row>
    <row r="28" spans="1:24" ht="16" x14ac:dyDescent="0.2">
      <c r="A28" s="2" t="s">
        <v>13</v>
      </c>
      <c r="B28" s="5">
        <v>2020</v>
      </c>
      <c r="C28" s="8">
        <v>1.9987960024630558</v>
      </c>
      <c r="D28" s="4">
        <v>0.53696125955397889</v>
      </c>
      <c r="E28" s="6">
        <v>2.4623735472903866E-2</v>
      </c>
      <c r="F28" s="8">
        <v>0.94169999999999998</v>
      </c>
      <c r="G28" s="4">
        <v>2508219</v>
      </c>
      <c r="H28" s="7">
        <v>15.785204884527268</v>
      </c>
      <c r="I28" s="4">
        <v>10440502.899735</v>
      </c>
      <c r="J28" s="8">
        <v>2.0529000000000002</v>
      </c>
      <c r="K28" s="8">
        <v>55.283999999999999</v>
      </c>
      <c r="L28" s="7">
        <v>1</v>
      </c>
      <c r="M28" s="8">
        <v>80.529799999999994</v>
      </c>
      <c r="N28" s="8">
        <v>15.15653546723974</v>
      </c>
      <c r="O28" s="8">
        <v>8.1781400670380228E-2</v>
      </c>
      <c r="P28" s="11">
        <v>2340.0238970588234</v>
      </c>
      <c r="Q28" s="8">
        <v>1.6445236458590746</v>
      </c>
      <c r="R28" s="3">
        <v>8.4816520667764846E-3</v>
      </c>
      <c r="S28" s="33">
        <v>-8.0002386939810141E-2</v>
      </c>
      <c r="T28" s="5">
        <v>42.9</v>
      </c>
      <c r="U28" s="34">
        <v>0.15699912500000002</v>
      </c>
      <c r="V28">
        <v>575.58600451094503</v>
      </c>
    </row>
    <row r="29" spans="1:24" ht="16" x14ac:dyDescent="0.2">
      <c r="A29" s="2" t="s">
        <v>13</v>
      </c>
      <c r="B29" s="5">
        <v>2021</v>
      </c>
      <c r="C29" s="8">
        <v>2.520911920219882</v>
      </c>
      <c r="D29" s="4">
        <v>1.2614012417189719</v>
      </c>
      <c r="E29" s="6">
        <v>3.3070438776537257E-3</v>
      </c>
      <c r="F29" s="8">
        <v>0.93979999999999997</v>
      </c>
      <c r="G29" s="4">
        <v>2874841</v>
      </c>
      <c r="H29" s="7">
        <v>14.616825723750598</v>
      </c>
      <c r="I29" s="4">
        <v>10110411.014545601</v>
      </c>
      <c r="J29" s="8">
        <v>1.7630999999999999</v>
      </c>
      <c r="K29" s="8">
        <v>49.880600000000001</v>
      </c>
      <c r="L29" s="7">
        <v>1</v>
      </c>
      <c r="M29" s="8">
        <v>97.061800000000005</v>
      </c>
      <c r="N29" s="8">
        <v>15.281835528530671</v>
      </c>
      <c r="O29" s="8">
        <v>8.7656558665711315E-2</v>
      </c>
      <c r="P29" s="11">
        <v>1744.6996079613996</v>
      </c>
      <c r="Q29" s="8">
        <v>0.97643675787550765</v>
      </c>
      <c r="R29" s="3">
        <v>8.2494859566932047E-3</v>
      </c>
      <c r="S29" s="33">
        <v>1.0212251572429743E-2</v>
      </c>
      <c r="T29" s="5">
        <v>43.4</v>
      </c>
      <c r="U29" s="34">
        <v>0.20469052499999998</v>
      </c>
      <c r="V29">
        <v>554.53067503310399</v>
      </c>
    </row>
    <row r="30" spans="1:24" ht="16" x14ac:dyDescent="0.2">
      <c r="A30" s="2" t="s">
        <v>13</v>
      </c>
      <c r="B30" s="5">
        <v>2022</v>
      </c>
      <c r="C30" s="8">
        <v>2.587071947153889</v>
      </c>
      <c r="D30" s="4">
        <v>-1.3790564709852191</v>
      </c>
      <c r="E30" s="6">
        <v>2.7705651582111964E-2</v>
      </c>
      <c r="F30" s="8">
        <v>0.9496</v>
      </c>
      <c r="G30" s="4">
        <v>3111942</v>
      </c>
      <c r="H30" s="7">
        <v>8.2474474240488433</v>
      </c>
      <c r="I30" s="4">
        <v>9719011.0872259997</v>
      </c>
      <c r="J30" s="8">
        <v>2.0215999999999998</v>
      </c>
      <c r="K30" s="8">
        <v>49.064700000000002</v>
      </c>
      <c r="L30" s="7">
        <v>1</v>
      </c>
      <c r="M30" s="8">
        <v>90.426900000000003</v>
      </c>
      <c r="N30" s="8">
        <v>15.302046575282002</v>
      </c>
      <c r="O30" s="8">
        <v>9.3775959180662366E-2</v>
      </c>
      <c r="P30" s="11">
        <v>1394.5953097857557</v>
      </c>
      <c r="Q30" s="8">
        <v>0.99527730291115146</v>
      </c>
      <c r="R30" s="3">
        <v>8.4176349613585399E-3</v>
      </c>
      <c r="S30" s="33">
        <v>-2.0229648711727066E-2</v>
      </c>
      <c r="T30" s="5">
        <v>44.8</v>
      </c>
      <c r="U30" s="34">
        <v>0.23766538333333329</v>
      </c>
      <c r="V30">
        <v>623.75970091118199</v>
      </c>
    </row>
    <row r="31" spans="1:24" x14ac:dyDescent="0.2">
      <c r="O31" s="8"/>
    </row>
    <row r="32" spans="1:24" ht="16" x14ac:dyDescent="0.2">
      <c r="A32" s="2" t="s">
        <v>14</v>
      </c>
      <c r="B32" s="5">
        <v>2014</v>
      </c>
      <c r="C32" s="8">
        <v>5.5934694728096597</v>
      </c>
      <c r="D32" s="4">
        <v>2.9908094693015337</v>
      </c>
      <c r="E32" s="6">
        <v>-1.4768365423074782E-2</v>
      </c>
      <c r="F32" s="8">
        <v>1.1217999999999999</v>
      </c>
      <c r="G32" s="4">
        <v>2074581</v>
      </c>
      <c r="H32" s="7">
        <v>-10.7586189</v>
      </c>
      <c r="I32" s="4">
        <v>3606640.5992832002</v>
      </c>
      <c r="J32" s="8">
        <v>3.4624999999999999</v>
      </c>
      <c r="K32" s="8">
        <v>44.324300000000001</v>
      </c>
      <c r="L32" s="7">
        <v>1</v>
      </c>
      <c r="M32" s="8">
        <v>64.253600000000006</v>
      </c>
      <c r="N32" s="8">
        <v>14.686442600060689</v>
      </c>
      <c r="O32" s="8">
        <v>3.3391833402651699E-2</v>
      </c>
      <c r="P32" s="8">
        <v>7.383030034019887E-4</v>
      </c>
      <c r="Q32" s="8">
        <v>0.48399894336536603</v>
      </c>
      <c r="R32" s="3">
        <v>9.3695597874602684E-3</v>
      </c>
      <c r="S32" s="33">
        <v>-3.0915019181547123E-2</v>
      </c>
      <c r="T32" s="5">
        <v>47.2</v>
      </c>
      <c r="U32" s="34">
        <v>0.31237478333333329</v>
      </c>
      <c r="V32">
        <v>493.757329875312</v>
      </c>
      <c r="X32" s="4"/>
    </row>
    <row r="33" spans="1:22" ht="16" x14ac:dyDescent="0.2">
      <c r="A33" s="2" t="s">
        <v>14</v>
      </c>
      <c r="B33" s="5">
        <v>2015</v>
      </c>
      <c r="C33" s="8">
        <v>4.5998411371886041</v>
      </c>
      <c r="D33" s="4">
        <v>2.753809467436513</v>
      </c>
      <c r="E33" s="6">
        <v>-1.1562724810389745E-2</v>
      </c>
      <c r="F33" s="8">
        <v>1.0290999999999999</v>
      </c>
      <c r="G33" s="4">
        <v>2159369</v>
      </c>
      <c r="H33" s="7">
        <v>4.0869939999999998</v>
      </c>
      <c r="I33" s="4">
        <v>4949115.4444896001</v>
      </c>
      <c r="J33" s="8">
        <v>3.7549999999999999</v>
      </c>
      <c r="K33" s="8">
        <v>45.215400000000002</v>
      </c>
      <c r="L33" s="7">
        <v>1</v>
      </c>
      <c r="M33" s="8">
        <v>57.841500000000003</v>
      </c>
      <c r="N33" s="8">
        <v>14.753682293851847</v>
      </c>
      <c r="O33" s="8">
        <v>3.9951442057583671E-2</v>
      </c>
      <c r="P33" s="8">
        <v>6.102896150658178E-4</v>
      </c>
      <c r="Q33" s="8">
        <v>0.53950452476182864</v>
      </c>
      <c r="R33" s="3">
        <v>9.4400477390438192E-3</v>
      </c>
      <c r="S33" s="33">
        <v>-1.4834801845660568E-2</v>
      </c>
      <c r="T33" s="5">
        <v>49.2</v>
      </c>
      <c r="U33" s="34">
        <v>0.24796339999999997</v>
      </c>
      <c r="V33">
        <v>591.21169798260996</v>
      </c>
    </row>
    <row r="34" spans="1:22" ht="16" x14ac:dyDescent="0.2">
      <c r="A34" s="2" t="s">
        <v>14</v>
      </c>
      <c r="B34" s="5">
        <v>2016</v>
      </c>
      <c r="C34" s="8">
        <v>4.3158860460509034</v>
      </c>
      <c r="D34" s="4">
        <v>1.5474963610768713</v>
      </c>
      <c r="E34" s="6">
        <v>2.0623012128873431E-3</v>
      </c>
      <c r="F34" s="8">
        <v>1.0362</v>
      </c>
      <c r="G34" s="4">
        <v>2276705</v>
      </c>
      <c r="H34" s="7">
        <v>5.4338096</v>
      </c>
      <c r="I34" s="4">
        <v>6508833.0918376008</v>
      </c>
      <c r="J34" s="8">
        <v>3.66</v>
      </c>
      <c r="K34" s="8">
        <v>41.656999999999996</v>
      </c>
      <c r="L34" s="7">
        <v>1</v>
      </c>
      <c r="M34" s="8">
        <v>78.063000000000002</v>
      </c>
      <c r="N34" s="8">
        <v>14.860468337999345</v>
      </c>
      <c r="O34" s="8">
        <v>5.0196152554850139E-2</v>
      </c>
      <c r="P34" s="8">
        <v>5.9485790140360786E-4</v>
      </c>
      <c r="Q34" s="8">
        <v>0.4704663570334327</v>
      </c>
      <c r="R34" s="3">
        <v>9.4581503087690713E-3</v>
      </c>
      <c r="S34" s="33">
        <v>3.0077789031008589E-2</v>
      </c>
      <c r="T34" s="5">
        <v>45</v>
      </c>
      <c r="U34" s="34">
        <v>0.3312161666666667</v>
      </c>
      <c r="V34">
        <v>592.60561506302201</v>
      </c>
    </row>
    <row r="35" spans="1:22" ht="16" x14ac:dyDescent="0.2">
      <c r="A35" s="2" t="s">
        <v>14</v>
      </c>
      <c r="B35" s="5">
        <v>2017</v>
      </c>
      <c r="C35" s="8">
        <v>3.5572750490196414</v>
      </c>
      <c r="D35" s="4">
        <v>-2.0494380394348441</v>
      </c>
      <c r="E35" s="6">
        <v>3.227151423816655E-2</v>
      </c>
      <c r="F35" s="8">
        <v>1.0711999999999999</v>
      </c>
      <c r="G35" s="4">
        <v>2332510</v>
      </c>
      <c r="H35" s="7">
        <v>2.45113</v>
      </c>
      <c r="I35" s="4">
        <v>6967529.4550705999</v>
      </c>
      <c r="J35" s="8">
        <v>3.6013000000000002</v>
      </c>
      <c r="K35" s="8">
        <v>42.356400000000001</v>
      </c>
      <c r="L35" s="7">
        <v>1</v>
      </c>
      <c r="M35" s="8">
        <v>41.5426</v>
      </c>
      <c r="N35" s="8">
        <v>14.880511175006387</v>
      </c>
      <c r="O35" s="8">
        <v>5.7374782088924867E-2</v>
      </c>
      <c r="P35" s="8">
        <v>7.1725548399424516E-4</v>
      </c>
      <c r="Q35" s="8">
        <v>0.51892005288408904</v>
      </c>
      <c r="R35" s="3">
        <v>9.5960520982893305E-3</v>
      </c>
      <c r="S35" s="33">
        <v>0.10400088774297593</v>
      </c>
      <c r="T35" s="5">
        <v>44.4</v>
      </c>
      <c r="U35" s="34">
        <v>0.30180815833333335</v>
      </c>
      <c r="V35">
        <v>580.65674958785803</v>
      </c>
    </row>
    <row r="36" spans="1:22" ht="16" x14ac:dyDescent="0.2">
      <c r="A36" s="2" t="s">
        <v>14</v>
      </c>
      <c r="B36" s="5">
        <v>2018</v>
      </c>
      <c r="C36" s="8">
        <v>3.7532561404343392</v>
      </c>
      <c r="D36" s="4">
        <v>2.075978784090184</v>
      </c>
      <c r="E36" s="6">
        <v>-5.4286376745810447E-3</v>
      </c>
      <c r="F36" s="8">
        <v>1.0210999999999999</v>
      </c>
      <c r="G36" s="4">
        <v>2848414</v>
      </c>
      <c r="H36" s="7">
        <v>22.117975900000001</v>
      </c>
      <c r="I36" s="4">
        <v>7440019.6367028989</v>
      </c>
      <c r="J36" s="8">
        <v>3.6829999999999998</v>
      </c>
      <c r="K36" s="8">
        <v>43.9724</v>
      </c>
      <c r="L36" s="7">
        <v>1</v>
      </c>
      <c r="M36" s="8">
        <v>53.625300000000003</v>
      </c>
      <c r="N36" s="8">
        <v>14.964527836110594</v>
      </c>
      <c r="O36" s="8">
        <v>6.2424964350844644E-2</v>
      </c>
      <c r="P36" s="8">
        <v>6.5398015127921645E-4</v>
      </c>
      <c r="Q36" s="8">
        <v>0.46531407715069911</v>
      </c>
      <c r="R36" s="3">
        <v>9.594340809882352E-3</v>
      </c>
      <c r="S36" s="33">
        <v>0.11043420027417027</v>
      </c>
      <c r="T36" s="5">
        <v>44.1</v>
      </c>
      <c r="U36" s="34">
        <v>0.21956370000000003</v>
      </c>
      <c r="V36">
        <v>555.44645839822601</v>
      </c>
    </row>
    <row r="37" spans="1:22" ht="16" x14ac:dyDescent="0.2">
      <c r="A37" s="2" t="s">
        <v>14</v>
      </c>
      <c r="B37" s="5">
        <v>2019</v>
      </c>
      <c r="C37" s="8">
        <v>3.5825674025896479</v>
      </c>
      <c r="D37" s="4">
        <v>0.17220804195123507</v>
      </c>
      <c r="E37" s="6">
        <v>1.3432991124056055E-2</v>
      </c>
      <c r="F37" s="8">
        <v>0.98629999999999995</v>
      </c>
      <c r="G37" s="4">
        <v>2985187</v>
      </c>
      <c r="H37" s="7">
        <v>4.8017247000000003</v>
      </c>
      <c r="I37" s="4">
        <v>8403698.9776357003</v>
      </c>
      <c r="J37" s="8">
        <v>3.3573</v>
      </c>
      <c r="K37" s="8">
        <v>45.329099999999997</v>
      </c>
      <c r="L37" s="7">
        <v>1</v>
      </c>
      <c r="M37" s="8">
        <v>40.8035</v>
      </c>
      <c r="N37" s="8">
        <v>15.007579488180369</v>
      </c>
      <c r="O37" s="8">
        <v>6.2378481508888202E-2</v>
      </c>
      <c r="P37" s="8">
        <v>6.2568373077157317E-4</v>
      </c>
      <c r="Q37" s="8">
        <v>0.51185799284245692</v>
      </c>
      <c r="R37" s="3">
        <v>9.6617123806895522E-3</v>
      </c>
      <c r="S37" s="33">
        <v>7.3452735650900214E-2</v>
      </c>
      <c r="T37" s="5">
        <v>43</v>
      </c>
      <c r="U37" s="34">
        <v>0.13867664166666668</v>
      </c>
      <c r="V37">
        <v>585.91101318036897</v>
      </c>
    </row>
    <row r="38" spans="1:22" ht="16" x14ac:dyDescent="0.2">
      <c r="A38" s="2" t="s">
        <v>14</v>
      </c>
      <c r="B38" s="5">
        <v>2020</v>
      </c>
      <c r="C38" s="8">
        <v>2.6291679748875252</v>
      </c>
      <c r="D38" s="4">
        <v>0.75967072173216477</v>
      </c>
      <c r="E38" s="6">
        <v>2.8333285877009787E-2</v>
      </c>
      <c r="F38" s="8">
        <v>0.95299999999999996</v>
      </c>
      <c r="G38" s="4">
        <v>2893328</v>
      </c>
      <c r="H38" s="7">
        <v>-3.0771606999999999</v>
      </c>
      <c r="I38" s="4">
        <v>10100842.973271299</v>
      </c>
      <c r="J38" s="8">
        <v>3.2199</v>
      </c>
      <c r="K38" s="8">
        <v>45.134500000000003</v>
      </c>
      <c r="L38" s="7">
        <v>1</v>
      </c>
      <c r="M38" s="8">
        <v>37.377499999999998</v>
      </c>
      <c r="N38" s="8">
        <v>15.112645170268259</v>
      </c>
      <c r="O38" s="8">
        <v>5.9568906842610118E-2</v>
      </c>
      <c r="P38" s="8">
        <v>5.6601198867245862E-4</v>
      </c>
      <c r="Q38" s="8">
        <v>0.44703664513609898</v>
      </c>
      <c r="R38" s="3">
        <v>9.6208648127047609E-3</v>
      </c>
      <c r="S38" s="33">
        <v>-8.0002386939810141E-2</v>
      </c>
      <c r="T38" s="5">
        <v>42.9</v>
      </c>
      <c r="U38" s="34">
        <v>0.15699912500000002</v>
      </c>
      <c r="V38">
        <v>575.58600451094503</v>
      </c>
    </row>
    <row r="39" spans="1:22" ht="16" x14ac:dyDescent="0.2">
      <c r="A39" s="2" t="s">
        <v>14</v>
      </c>
      <c r="B39" s="5">
        <v>2021</v>
      </c>
      <c r="C39" s="8">
        <v>2.9738790847646701</v>
      </c>
      <c r="D39" s="4">
        <v>2.2446906183405537</v>
      </c>
      <c r="E39" s="6">
        <v>-1.4564163944225327E-3</v>
      </c>
      <c r="F39" s="8">
        <v>0.96579999999999999</v>
      </c>
      <c r="G39" s="4">
        <v>3076753</v>
      </c>
      <c r="H39" s="7">
        <v>6.3395853999999998</v>
      </c>
      <c r="I39" s="4">
        <v>10403756.607608</v>
      </c>
      <c r="J39" s="8">
        <v>3.1375999999999999</v>
      </c>
      <c r="K39" s="8">
        <v>43.308</v>
      </c>
      <c r="L39" s="7">
        <v>1</v>
      </c>
      <c r="M39" s="8">
        <v>58.822400000000002</v>
      </c>
      <c r="N39" s="8">
        <v>15.227326095637665</v>
      </c>
      <c r="O39" s="8">
        <v>5.9371436765943399E-2</v>
      </c>
      <c r="P39" s="8">
        <v>4.4074746975304946E-4</v>
      </c>
      <c r="Q39" s="8">
        <v>0.30425227777030422</v>
      </c>
      <c r="R39" s="3">
        <v>9.3834543356330485E-3</v>
      </c>
      <c r="S39" s="33">
        <v>1.0212251572429743E-2</v>
      </c>
      <c r="T39" s="5">
        <v>43.4</v>
      </c>
      <c r="U39" s="34">
        <v>0.20469052499999998</v>
      </c>
      <c r="V39">
        <v>554.53067503310399</v>
      </c>
    </row>
    <row r="40" spans="1:22" ht="16" x14ac:dyDescent="0.2">
      <c r="A40" s="2" t="s">
        <v>14</v>
      </c>
      <c r="B40" s="5">
        <v>2022</v>
      </c>
      <c r="C40" s="8">
        <v>2.6502266957674103</v>
      </c>
      <c r="D40" s="4">
        <v>1.5885960985380052</v>
      </c>
      <c r="E40" s="6">
        <v>-1.5576074173124788E-3</v>
      </c>
      <c r="F40" s="8">
        <v>0.96379999999999999</v>
      </c>
      <c r="G40" s="4">
        <v>2995760</v>
      </c>
      <c r="H40" s="7">
        <v>-2.6324179999999999</v>
      </c>
      <c r="I40" s="4">
        <v>9253687.0676543992</v>
      </c>
      <c r="J40" s="8">
        <v>3.4123000000000001</v>
      </c>
      <c r="K40" s="8">
        <v>43.174100000000003</v>
      </c>
      <c r="L40" s="7">
        <v>1</v>
      </c>
      <c r="M40" s="8">
        <v>43.737099999999998</v>
      </c>
      <c r="N40" s="8">
        <v>15.261574795003499</v>
      </c>
      <c r="O40" s="8">
        <v>5.3171203757292312E-2</v>
      </c>
      <c r="P40" s="8">
        <v>3.8941135945727746E-4</v>
      </c>
      <c r="Q40" s="8">
        <v>0.39453701407542907</v>
      </c>
      <c r="R40" s="3">
        <v>9.1363859346232437E-3</v>
      </c>
      <c r="S40" s="33">
        <v>-2.0229648711727066E-2</v>
      </c>
      <c r="T40" s="5">
        <v>44.8</v>
      </c>
      <c r="U40" s="34">
        <v>0.23766538333333329</v>
      </c>
      <c r="V40">
        <v>623.75970091118199</v>
      </c>
    </row>
    <row r="41" spans="1:22" x14ac:dyDescent="0.2">
      <c r="C41" s="8"/>
      <c r="E41" s="9"/>
      <c r="F41" s="8"/>
      <c r="G41" s="4"/>
      <c r="I41" s="4"/>
      <c r="J41" s="8"/>
      <c r="K41" s="8"/>
      <c r="L41" s="7"/>
      <c r="M41" s="8"/>
      <c r="N41" s="8"/>
      <c r="O41" s="8"/>
      <c r="P41" s="11"/>
      <c r="Q41" s="8"/>
      <c r="R41" s="3"/>
    </row>
    <row r="42" spans="1:22" ht="16" x14ac:dyDescent="0.2">
      <c r="A42" s="2" t="s">
        <v>15</v>
      </c>
      <c r="B42" s="5">
        <v>2014</v>
      </c>
      <c r="C42" s="8">
        <v>5.0917144001661594</v>
      </c>
      <c r="D42" s="4">
        <v>2.415722731322099</v>
      </c>
      <c r="E42" s="6">
        <v>-9.4096761264619907E-3</v>
      </c>
      <c r="F42" s="8">
        <v>1.0305</v>
      </c>
      <c r="G42" s="4">
        <v>1677757.01</v>
      </c>
      <c r="H42" s="7">
        <v>10.264144099999999</v>
      </c>
      <c r="I42" s="4">
        <v>5748980.6652839994</v>
      </c>
      <c r="J42" s="8">
        <v>3.0754000000000001</v>
      </c>
      <c r="K42" s="8">
        <v>45.801000000000002</v>
      </c>
      <c r="L42" s="7">
        <v>1</v>
      </c>
      <c r="M42" s="8">
        <v>138.42939999999999</v>
      </c>
      <c r="N42" s="8">
        <v>14.841244783983642</v>
      </c>
      <c r="O42" s="8">
        <v>3.8925142378757577E-2</v>
      </c>
      <c r="P42" s="8">
        <v>8.1329914549920174E-4</v>
      </c>
      <c r="Q42" s="8">
        <v>1.3324288950031811</v>
      </c>
      <c r="R42" s="3">
        <v>9.0783464933364231E-3</v>
      </c>
      <c r="S42" s="33">
        <v>-3.0915019181547123E-2</v>
      </c>
      <c r="T42" s="5">
        <v>47.2</v>
      </c>
      <c r="U42" s="34">
        <v>0.31237478333333329</v>
      </c>
      <c r="V42">
        <v>493.757329875312</v>
      </c>
    </row>
    <row r="43" spans="1:22" ht="16" x14ac:dyDescent="0.2">
      <c r="A43" s="2" t="s">
        <v>15</v>
      </c>
      <c r="B43" s="5">
        <v>2015</v>
      </c>
      <c r="C43" s="8">
        <v>4.2134995555899408</v>
      </c>
      <c r="D43" s="4">
        <v>2.1781419156491402</v>
      </c>
      <c r="E43" s="6">
        <v>-5.0144916785099004E-3</v>
      </c>
      <c r="F43" s="8">
        <v>0.99560000000000004</v>
      </c>
      <c r="G43" s="4">
        <v>2475741.7799999998</v>
      </c>
      <c r="H43" s="7">
        <v>47.562594900000001</v>
      </c>
      <c r="I43" s="4">
        <v>7637144.7307042005</v>
      </c>
      <c r="J43" s="8">
        <v>3.0514999999999999</v>
      </c>
      <c r="K43" s="8">
        <v>44.835799999999999</v>
      </c>
      <c r="L43" s="7">
        <v>1</v>
      </c>
      <c r="M43" s="8">
        <v>131.8827</v>
      </c>
      <c r="N43" s="8">
        <v>14.850589916074641</v>
      </c>
      <c r="O43" s="8">
        <v>4.2396589247532208E-2</v>
      </c>
      <c r="P43" s="8">
        <v>7.0265385176703627E-4</v>
      </c>
      <c r="Q43" s="8">
        <v>1.6088640794557425</v>
      </c>
      <c r="R43" s="3">
        <v>9.4939941419109226E-3</v>
      </c>
      <c r="S43" s="33">
        <v>-1.4834801845660568E-2</v>
      </c>
      <c r="T43" s="5">
        <v>49.2</v>
      </c>
      <c r="U43" s="34">
        <v>0.24796339999999997</v>
      </c>
      <c r="V43">
        <v>591.21169798260996</v>
      </c>
    </row>
    <row r="44" spans="1:22" ht="16" x14ac:dyDescent="0.2">
      <c r="A44" s="2" t="s">
        <v>15</v>
      </c>
      <c r="B44" s="5">
        <v>2016</v>
      </c>
      <c r="C44" s="8">
        <v>4.8680777538521882</v>
      </c>
      <c r="D44" s="4">
        <v>0.96493789178908296</v>
      </c>
      <c r="E44" s="6">
        <v>5.3915577323678495E-3</v>
      </c>
      <c r="F44" s="8">
        <v>0.99</v>
      </c>
      <c r="G44" s="4">
        <v>2847809.62</v>
      </c>
      <c r="H44" s="7">
        <v>15.028539899999998</v>
      </c>
      <c r="I44" s="4">
        <v>9112714.9497999996</v>
      </c>
      <c r="J44" s="8">
        <v>3.3412000000000002</v>
      </c>
      <c r="K44" s="8">
        <v>41.643000000000001</v>
      </c>
      <c r="L44" s="7">
        <v>1</v>
      </c>
      <c r="M44" s="8">
        <v>125.39570000000001</v>
      </c>
      <c r="N44" s="8">
        <v>14.804941466686458</v>
      </c>
      <c r="O44" s="8">
        <v>5.8180711451479572E-2</v>
      </c>
      <c r="P44" s="8">
        <v>7.4710647543161518E-4</v>
      </c>
      <c r="Q44" s="8">
        <v>1.1263262311235207</v>
      </c>
      <c r="R44" s="3">
        <v>9.6536517990320984E-3</v>
      </c>
      <c r="S44" s="33">
        <v>3.0077789031008589E-2</v>
      </c>
      <c r="T44" s="5">
        <v>45</v>
      </c>
      <c r="U44" s="34">
        <v>0.3312161666666667</v>
      </c>
      <c r="V44">
        <v>592.60561506302201</v>
      </c>
    </row>
    <row r="45" spans="1:22" ht="16" x14ac:dyDescent="0.2">
      <c r="A45" s="2" t="s">
        <v>15</v>
      </c>
      <c r="B45" s="5">
        <v>2017</v>
      </c>
      <c r="C45" s="8">
        <v>3.4775687671675297</v>
      </c>
      <c r="D45" s="4">
        <v>-0.39064213503736489</v>
      </c>
      <c r="E45" s="6">
        <v>1.4987818507500089E-2</v>
      </c>
      <c r="F45" s="8">
        <v>0.99319999999999997</v>
      </c>
      <c r="G45" s="4">
        <v>3029006.83</v>
      </c>
      <c r="H45" s="7">
        <v>6.3626868999999999</v>
      </c>
      <c r="I45" s="4">
        <v>10301985.599265801</v>
      </c>
      <c r="J45" s="8">
        <v>3.3186</v>
      </c>
      <c r="K45" s="8">
        <v>40.908700000000003</v>
      </c>
      <c r="L45" s="7">
        <v>1</v>
      </c>
      <c r="M45" s="8">
        <v>137.01750000000001</v>
      </c>
      <c r="N45" s="8">
        <v>14.864305657703525</v>
      </c>
      <c r="O45" s="8">
        <v>6.4693351595489154E-2</v>
      </c>
      <c r="P45" s="8">
        <v>7.8862901623798741E-4</v>
      </c>
      <c r="Q45" s="8">
        <v>1.3520271435555167</v>
      </c>
      <c r="R45" s="3">
        <v>9.3587569862414715E-3</v>
      </c>
      <c r="S45" s="33">
        <v>0.10400088774297593</v>
      </c>
      <c r="T45" s="5">
        <v>44.4</v>
      </c>
      <c r="U45" s="34">
        <v>0.30180815833333335</v>
      </c>
      <c r="V45">
        <v>580.65674958785803</v>
      </c>
    </row>
    <row r="46" spans="1:22" ht="16" x14ac:dyDescent="0.2">
      <c r="A46" s="2" t="s">
        <v>15</v>
      </c>
      <c r="B46" s="5">
        <v>2018</v>
      </c>
      <c r="C46" s="8">
        <v>4.3189727113152667</v>
      </c>
      <c r="D46" s="4">
        <v>0.35498374997945364</v>
      </c>
      <c r="E46" s="6">
        <v>8.933489351300599E-3</v>
      </c>
      <c r="F46" s="8">
        <v>0.98629999999999995</v>
      </c>
      <c r="G46" s="4">
        <v>4110568.45</v>
      </c>
      <c r="H46" s="7">
        <v>35.706806899999997</v>
      </c>
      <c r="I46" s="4">
        <v>10636873.831291201</v>
      </c>
      <c r="J46" s="8">
        <v>3.1648000000000001</v>
      </c>
      <c r="K46" s="8">
        <v>45.729399999999998</v>
      </c>
      <c r="L46" s="7">
        <v>1</v>
      </c>
      <c r="M46" s="8">
        <v>92.880700000000004</v>
      </c>
      <c r="N46" s="8">
        <v>14.823177629867549</v>
      </c>
      <c r="O46" s="8">
        <v>6.6077503021585521E-2</v>
      </c>
      <c r="P46" s="8">
        <v>7.7496512859502955E-4</v>
      </c>
      <c r="Q46" s="8">
        <v>0.98016316025954808</v>
      </c>
      <c r="R46" s="3">
        <v>9.9245058212469022E-3</v>
      </c>
      <c r="S46" s="33">
        <v>0.11043420027417027</v>
      </c>
      <c r="T46" s="5">
        <v>44.1</v>
      </c>
      <c r="U46" s="34">
        <v>0.21956370000000003</v>
      </c>
      <c r="V46">
        <v>555.44645839822601</v>
      </c>
    </row>
    <row r="47" spans="1:22" ht="16" x14ac:dyDescent="0.2">
      <c r="A47" s="2" t="s">
        <v>15</v>
      </c>
      <c r="B47" s="5">
        <v>2019</v>
      </c>
      <c r="C47" s="8">
        <v>4.3210858337657996</v>
      </c>
      <c r="D47" s="4">
        <v>-1.2086228699080945</v>
      </c>
      <c r="E47" s="6">
        <v>2.2518224104831681E-2</v>
      </c>
      <c r="F47" s="8">
        <v>0.96379999999999999</v>
      </c>
      <c r="G47" s="4">
        <v>4424236</v>
      </c>
      <c r="H47" s="7">
        <v>7.6307584999999998</v>
      </c>
      <c r="I47" s="4">
        <v>10265933.758572001</v>
      </c>
      <c r="J47" s="8">
        <v>3.2627999999999999</v>
      </c>
      <c r="K47" s="8">
        <v>50.287500000000001</v>
      </c>
      <c r="L47" s="7">
        <v>1</v>
      </c>
      <c r="M47" s="8">
        <v>110.45910000000001</v>
      </c>
      <c r="N47" s="8">
        <v>14.918186618315847</v>
      </c>
      <c r="O47" s="8">
        <v>6.4725276045508151E-2</v>
      </c>
      <c r="P47" s="8">
        <v>7.619556042465582E-4</v>
      </c>
      <c r="Q47" s="8">
        <v>0.91328534247000615</v>
      </c>
      <c r="R47" s="3">
        <v>9.6939017042829284E-3</v>
      </c>
      <c r="S47" s="33">
        <v>7.3452735650900214E-2</v>
      </c>
      <c r="T47" s="5">
        <v>43</v>
      </c>
      <c r="U47" s="34">
        <v>0.13867664166666668</v>
      </c>
      <c r="V47">
        <v>585.91101318036897</v>
      </c>
    </row>
    <row r="48" spans="1:22" ht="16" x14ac:dyDescent="0.2">
      <c r="A48" s="2" t="s">
        <v>15</v>
      </c>
      <c r="B48" s="5">
        <v>2020</v>
      </c>
      <c r="C48" s="8">
        <v>2.4178706936539145</v>
      </c>
      <c r="D48" s="4">
        <v>1.9199426518709866</v>
      </c>
      <c r="E48" s="6">
        <v>9.0616649996778983E-3</v>
      </c>
      <c r="F48" s="8">
        <v>0.94340000000000002</v>
      </c>
      <c r="G48" s="4">
        <v>3987186</v>
      </c>
      <c r="H48" s="7">
        <v>-9.8785416999999995</v>
      </c>
      <c r="I48" s="4">
        <v>10713788.5760455</v>
      </c>
      <c r="J48" s="8">
        <v>2.7989999999999999</v>
      </c>
      <c r="K48" s="8">
        <v>44.484699999999997</v>
      </c>
      <c r="L48" s="7">
        <v>1</v>
      </c>
      <c r="M48" s="8">
        <v>104.3098</v>
      </c>
      <c r="N48" s="8">
        <v>15.017816053803591</v>
      </c>
      <c r="O48" s="8">
        <v>6.4026097140638047E-2</v>
      </c>
      <c r="P48" s="8">
        <v>6.8411678562936117E-4</v>
      </c>
      <c r="Q48" s="8">
        <v>1.1225866741340378</v>
      </c>
      <c r="R48" s="3">
        <v>9.544560876631027E-3</v>
      </c>
      <c r="S48" s="33">
        <v>-8.0002386939810141E-2</v>
      </c>
      <c r="T48" s="5">
        <v>42.9</v>
      </c>
      <c r="U48" s="34">
        <v>0.15699912500000002</v>
      </c>
      <c r="V48">
        <v>575.58600451094503</v>
      </c>
    </row>
    <row r="49" spans="1:22" ht="16" x14ac:dyDescent="0.2">
      <c r="A49" s="2" t="s">
        <v>15</v>
      </c>
      <c r="B49" s="5">
        <v>2021</v>
      </c>
      <c r="C49" s="8">
        <v>2.7908871134077562</v>
      </c>
      <c r="D49" s="4">
        <v>2.2580778850303074</v>
      </c>
      <c r="E49" s="6">
        <v>-5.9417953900231099E-3</v>
      </c>
      <c r="F49" s="8">
        <v>0.9506</v>
      </c>
      <c r="G49" s="4">
        <v>3896196</v>
      </c>
      <c r="H49" s="7">
        <v>-2.2820605999999999</v>
      </c>
      <c r="I49" s="4">
        <v>10680903.556323001</v>
      </c>
      <c r="J49" s="8">
        <v>2.2831999999999999</v>
      </c>
      <c r="K49" s="8">
        <v>45.956800000000001</v>
      </c>
      <c r="L49" s="7">
        <v>1</v>
      </c>
      <c r="M49" s="8">
        <v>117.25069999999999</v>
      </c>
      <c r="N49" s="8">
        <v>15.084356201568493</v>
      </c>
      <c r="O49" s="8">
        <v>6.5415837885644895E-2</v>
      </c>
      <c r="P49" s="8">
        <v>5.3853106460107739E-4</v>
      </c>
      <c r="Q49" s="8">
        <v>0.72783319668204449</v>
      </c>
      <c r="R49" s="3">
        <v>1.013306850799333E-2</v>
      </c>
      <c r="S49" s="33">
        <v>1.0212251572429743E-2</v>
      </c>
      <c r="T49" s="5">
        <v>43.4</v>
      </c>
      <c r="U49" s="34">
        <v>0.20469052499999998</v>
      </c>
      <c r="V49">
        <v>554.53067503310399</v>
      </c>
    </row>
    <row r="50" spans="1:22" ht="16" x14ac:dyDescent="0.2">
      <c r="A50" s="2" t="s">
        <v>15</v>
      </c>
      <c r="B50" s="5">
        <v>2022</v>
      </c>
      <c r="C50" s="8">
        <v>4.0087616790176153</v>
      </c>
      <c r="D50" s="4">
        <v>-1.0814001290917938</v>
      </c>
      <c r="E50" s="6">
        <v>2.5737582692624276E-2</v>
      </c>
      <c r="F50" s="8">
        <v>0.96409999999999996</v>
      </c>
      <c r="G50" s="4">
        <v>4013506</v>
      </c>
      <c r="H50" s="7">
        <v>3.0108855000000001</v>
      </c>
      <c r="I50" s="4">
        <v>10109425.922368299</v>
      </c>
      <c r="J50" s="8">
        <v>2.3954</v>
      </c>
      <c r="K50" s="8">
        <v>44.064599999999999</v>
      </c>
      <c r="L50" s="7">
        <v>1</v>
      </c>
      <c r="M50" s="8">
        <v>111.3113</v>
      </c>
      <c r="N50" s="8">
        <v>15.094336311572405</v>
      </c>
      <c r="O50" s="8">
        <v>6.6601995532413846E-2</v>
      </c>
      <c r="P50" s="8">
        <v>4.9616418821327602E-4</v>
      </c>
      <c r="Q50" s="8">
        <v>0.51053844770052137</v>
      </c>
      <c r="R50" s="3">
        <v>1.0107988751157922E-2</v>
      </c>
      <c r="S50" s="33">
        <v>-2.0229648711727066E-2</v>
      </c>
      <c r="T50" s="5">
        <v>44.8</v>
      </c>
      <c r="U50" s="34">
        <v>0.23766538333333329</v>
      </c>
      <c r="V50">
        <v>623.75970091118199</v>
      </c>
    </row>
    <row r="51" spans="1:22" x14ac:dyDescent="0.2">
      <c r="O51" s="8"/>
    </row>
    <row r="52" spans="1:22" ht="16" x14ac:dyDescent="0.2">
      <c r="A52" s="2" t="s">
        <v>16</v>
      </c>
      <c r="B52" s="5">
        <v>2014</v>
      </c>
      <c r="C52" s="8">
        <v>7.8150422383378286</v>
      </c>
      <c r="D52" s="4">
        <v>2.3946184608351588</v>
      </c>
      <c r="E52" s="6">
        <v>-6.9958410847172827E-3</v>
      </c>
      <c r="F52" s="8">
        <v>1.1157999999999999</v>
      </c>
      <c r="G52" s="4">
        <v>372956</v>
      </c>
      <c r="H52" s="7">
        <v>16.226222200000002</v>
      </c>
      <c r="I52" s="4">
        <v>2998757.1690215999</v>
      </c>
      <c r="J52" s="8">
        <v>4.2686999999999999</v>
      </c>
      <c r="K52" s="8">
        <v>50.296999999999997</v>
      </c>
      <c r="L52" s="7">
        <v>1</v>
      </c>
      <c r="M52" s="8">
        <v>152.16300000000001</v>
      </c>
      <c r="N52" s="8">
        <v>14.00965228959735</v>
      </c>
      <c r="O52" s="8">
        <v>3.9274633307582137E-2</v>
      </c>
      <c r="P52" s="8">
        <v>7.383030034019887E-4</v>
      </c>
      <c r="Q52" s="8">
        <v>1.465544486053169</v>
      </c>
      <c r="R52" s="3">
        <v>1.2091853299413018E-2</v>
      </c>
      <c r="S52" s="33">
        <v>-3.0915019181547123E-2</v>
      </c>
      <c r="T52" s="5">
        <v>47.2</v>
      </c>
      <c r="U52" s="34">
        <v>0.31237478333333329</v>
      </c>
      <c r="V52">
        <v>493.757329875312</v>
      </c>
    </row>
    <row r="53" spans="1:22" ht="16" x14ac:dyDescent="0.2">
      <c r="A53" s="2" t="s">
        <v>16</v>
      </c>
      <c r="B53" s="5">
        <v>2015</v>
      </c>
      <c r="C53" s="8">
        <v>8.3956565189243282</v>
      </c>
      <c r="D53" s="4">
        <v>2.7432011741014097</v>
      </c>
      <c r="E53" s="6">
        <v>6.4370989612339358E-3</v>
      </c>
      <c r="F53" s="8">
        <v>1.0166999999999999</v>
      </c>
      <c r="G53" s="4">
        <v>1814150</v>
      </c>
      <c r="H53" s="7">
        <v>386.42467210000001</v>
      </c>
      <c r="I53" s="4">
        <v>3223937.8588530002</v>
      </c>
      <c r="J53" s="8">
        <v>4.0938999999999997</v>
      </c>
      <c r="K53" s="8">
        <v>48.421500000000002</v>
      </c>
      <c r="L53" s="7">
        <v>1</v>
      </c>
      <c r="M53" s="8">
        <v>202.56649999999999</v>
      </c>
      <c r="N53" s="8">
        <v>14.349378561239599</v>
      </c>
      <c r="O53" s="8">
        <v>3.4480572466604506E-2</v>
      </c>
      <c r="P53" s="8">
        <v>6.102896150658178E-4</v>
      </c>
      <c r="Q53" s="8">
        <v>1.0994106660983276</v>
      </c>
      <c r="R53" s="3">
        <v>1.2457866899518404E-2</v>
      </c>
      <c r="S53" s="33">
        <v>-1.4834801845660568E-2</v>
      </c>
      <c r="T53" s="5">
        <v>49.2</v>
      </c>
      <c r="U53" s="34">
        <v>0.24796339999999997</v>
      </c>
      <c r="V53">
        <v>591.21169798260996</v>
      </c>
    </row>
    <row r="54" spans="1:22" ht="16" x14ac:dyDescent="0.2">
      <c r="A54" s="2" t="s">
        <v>16</v>
      </c>
      <c r="B54" s="5">
        <v>2016</v>
      </c>
      <c r="C54" s="8">
        <v>7.8847306317666739</v>
      </c>
      <c r="D54" s="4">
        <v>2.0083475984512855</v>
      </c>
      <c r="E54" s="6">
        <v>-3.2196796009579674E-3</v>
      </c>
      <c r="F54" s="8">
        <v>1.0457000000000001</v>
      </c>
      <c r="G54" s="4">
        <v>1957486</v>
      </c>
      <c r="H54" s="7">
        <v>7.9010004999999994</v>
      </c>
      <c r="I54" s="4">
        <v>3483333.2227885001</v>
      </c>
      <c r="J54" s="8">
        <v>3.6675</v>
      </c>
      <c r="K54" s="8">
        <v>49.476999999999997</v>
      </c>
      <c r="L54" s="7">
        <v>1</v>
      </c>
      <c r="M54" s="8">
        <v>229.39429999999999</v>
      </c>
      <c r="N54" s="8">
        <v>14.448476752193258</v>
      </c>
      <c r="O54" s="8">
        <v>3.4137716451429878E-2</v>
      </c>
      <c r="P54" s="8">
        <v>5.9485790140360786E-4</v>
      </c>
      <c r="Q54" s="8">
        <v>0.89542550670008336</v>
      </c>
      <c r="R54" s="3">
        <v>1.3073150817382827E-2</v>
      </c>
      <c r="S54" s="33">
        <v>3.0077789031008589E-2</v>
      </c>
      <c r="T54" s="5">
        <v>45</v>
      </c>
      <c r="U54" s="34">
        <v>0.3312161666666667</v>
      </c>
      <c r="V54">
        <v>592.60561506302201</v>
      </c>
    </row>
    <row r="55" spans="1:22" ht="16" x14ac:dyDescent="0.2">
      <c r="A55" s="2" t="s">
        <v>16</v>
      </c>
      <c r="B55" s="5">
        <v>2017</v>
      </c>
      <c r="C55" s="8">
        <v>7.7222449693024924</v>
      </c>
      <c r="D55" s="4">
        <v>5.6735933837024133</v>
      </c>
      <c r="E55" s="6">
        <v>-4.7738550277645932E-2</v>
      </c>
      <c r="F55" s="8">
        <v>1.0322</v>
      </c>
      <c r="G55" s="4">
        <v>1657746</v>
      </c>
      <c r="H55" s="7">
        <v>-15.312497799999999</v>
      </c>
      <c r="I55" s="4">
        <v>3762296.2470803997</v>
      </c>
      <c r="J55" s="8">
        <v>3.6694</v>
      </c>
      <c r="K55" s="8">
        <v>50.469099999999997</v>
      </c>
      <c r="L55" s="7">
        <v>1</v>
      </c>
      <c r="M55" s="8">
        <v>189.7817</v>
      </c>
      <c r="N55" s="8">
        <v>14.552086923527735</v>
      </c>
      <c r="O55" s="8">
        <v>3.5781434591495125E-2</v>
      </c>
      <c r="P55" s="8">
        <v>7.1725548399424516E-4</v>
      </c>
      <c r="Q55" s="8">
        <v>0.91258232698293862</v>
      </c>
      <c r="R55" s="3">
        <v>1.1752352076950159E-2</v>
      </c>
      <c r="S55" s="33">
        <v>0.10400088774297593</v>
      </c>
      <c r="T55" s="5">
        <v>44.4</v>
      </c>
      <c r="U55" s="34">
        <v>0.30180815833333335</v>
      </c>
      <c r="V55">
        <v>580.65674958785803</v>
      </c>
    </row>
    <row r="56" spans="1:22" ht="16" x14ac:dyDescent="0.2">
      <c r="A56" s="2" t="s">
        <v>16</v>
      </c>
      <c r="B56" s="5">
        <v>2018</v>
      </c>
      <c r="C56" s="8">
        <v>7.7194266168252916</v>
      </c>
      <c r="D56" s="4">
        <v>0.14388842365424559</v>
      </c>
      <c r="E56" s="6">
        <v>1.5408044588542306E-2</v>
      </c>
      <c r="F56" s="8">
        <v>1.0178</v>
      </c>
      <c r="G56" s="4">
        <v>1828826</v>
      </c>
      <c r="H56" s="7">
        <v>10.320036999999999</v>
      </c>
      <c r="I56" s="4">
        <v>3844703.2728192001</v>
      </c>
      <c r="J56" s="8">
        <v>3.7601</v>
      </c>
      <c r="K56" s="8">
        <v>50.091200000000001</v>
      </c>
      <c r="L56" s="7">
        <v>1</v>
      </c>
      <c r="M56" s="8">
        <v>171.68430000000001</v>
      </c>
      <c r="N56" s="8">
        <v>14.59190563516418</v>
      </c>
      <c r="O56" s="8">
        <v>3.6697959953467918E-2</v>
      </c>
      <c r="P56" s="8">
        <v>6.5398015127921645E-4</v>
      </c>
      <c r="Q56" s="8">
        <v>1.0171487771675687</v>
      </c>
      <c r="R56" s="3">
        <v>1.1722367698486953E-2</v>
      </c>
      <c r="S56" s="33">
        <v>0.11043420027417027</v>
      </c>
      <c r="T56" s="5">
        <v>44.1</v>
      </c>
      <c r="U56" s="34">
        <v>0.21956370000000003</v>
      </c>
      <c r="V56">
        <v>555.44645839822601</v>
      </c>
    </row>
    <row r="57" spans="1:22" ht="16" x14ac:dyDescent="0.2">
      <c r="A57" s="2" t="s">
        <v>16</v>
      </c>
      <c r="B57" s="5">
        <v>2019</v>
      </c>
      <c r="C57" s="8">
        <v>9.4351432477261543</v>
      </c>
      <c r="D57" s="4">
        <v>-1.47661958067437</v>
      </c>
      <c r="E57" s="6">
        <v>2.5663630847421758E-2</v>
      </c>
      <c r="F57" s="8">
        <v>0.9788</v>
      </c>
      <c r="G57" s="4">
        <v>1928773</v>
      </c>
      <c r="H57" s="7">
        <v>5.4650907000000002</v>
      </c>
      <c r="I57" s="4">
        <v>4133296.5987132001</v>
      </c>
      <c r="J57" s="8">
        <v>3.5478999999999998</v>
      </c>
      <c r="K57" s="8">
        <v>45.585599999999999</v>
      </c>
      <c r="L57" s="7">
        <v>1</v>
      </c>
      <c r="M57" s="8">
        <v>162.13759999999999</v>
      </c>
      <c r="N57" s="8">
        <v>14.6739991094841</v>
      </c>
      <c r="O57" s="8">
        <v>3.7067547213788195E-2</v>
      </c>
      <c r="P57" s="8">
        <v>6.2568373077157317E-4</v>
      </c>
      <c r="Q57" s="8">
        <v>0.85450380354577116</v>
      </c>
      <c r="R57" s="3">
        <v>1.1601855866988463E-2</v>
      </c>
      <c r="S57" s="33">
        <v>7.3452735650900214E-2</v>
      </c>
      <c r="T57" s="5">
        <v>43</v>
      </c>
      <c r="U57" s="34">
        <v>0.13867664166666668</v>
      </c>
      <c r="V57">
        <v>585.91101318036897</v>
      </c>
    </row>
    <row r="58" spans="1:22" ht="16" x14ac:dyDescent="0.2">
      <c r="A58" s="2" t="s">
        <v>16</v>
      </c>
      <c r="B58" s="5">
        <v>2020</v>
      </c>
      <c r="C58" s="8">
        <v>6.2782480505785845</v>
      </c>
      <c r="D58" s="4">
        <v>-2.7164871351025592</v>
      </c>
      <c r="E58" s="6">
        <v>5.6609621508415843E-2</v>
      </c>
      <c r="F58" s="8">
        <v>0.97789999999999999</v>
      </c>
      <c r="G58" s="4">
        <v>1894535</v>
      </c>
      <c r="H58" s="7">
        <v>-1.7751182000000001</v>
      </c>
      <c r="I58" s="4">
        <v>4567186.9428866999</v>
      </c>
      <c r="J58" s="8">
        <v>3.4083999999999999</v>
      </c>
      <c r="K58" s="8">
        <v>45.846600000000002</v>
      </c>
      <c r="L58" s="7">
        <v>1</v>
      </c>
      <c r="M58" s="8">
        <v>136.69589999999999</v>
      </c>
      <c r="N58" s="8">
        <v>14.774620822925442</v>
      </c>
      <c r="O58" s="8">
        <v>3.6705418189753945E-2</v>
      </c>
      <c r="P58" s="8">
        <v>5.6601198867245862E-4</v>
      </c>
      <c r="Q58" s="8">
        <v>0.97818526525600424</v>
      </c>
      <c r="R58" s="3">
        <v>9.991253300068793E-3</v>
      </c>
      <c r="S58" s="33">
        <v>-8.0002386939810141E-2</v>
      </c>
      <c r="T58" s="5">
        <v>42.9</v>
      </c>
      <c r="U58" s="34">
        <v>0.15699912500000002</v>
      </c>
      <c r="V58">
        <v>575.58600451094503</v>
      </c>
    </row>
    <row r="59" spans="1:22" ht="16" x14ac:dyDescent="0.2">
      <c r="A59" s="2" t="s">
        <v>16</v>
      </c>
      <c r="B59" s="5">
        <v>2021</v>
      </c>
      <c r="C59" s="8">
        <v>8.7718135365806535</v>
      </c>
      <c r="D59" s="4">
        <v>0.43418931587009107</v>
      </c>
      <c r="E59" s="6">
        <v>1.7389330740791874E-2</v>
      </c>
      <c r="F59" s="8">
        <v>0.97740000000000005</v>
      </c>
      <c r="G59" s="4">
        <v>1903079</v>
      </c>
      <c r="H59" s="7">
        <v>0.45098139999999998</v>
      </c>
      <c r="I59" s="4">
        <v>4744807.6449180003</v>
      </c>
      <c r="J59" s="8">
        <v>3.1528999999999998</v>
      </c>
      <c r="K59" s="8">
        <v>42.796199999999999</v>
      </c>
      <c r="L59" s="7">
        <v>1</v>
      </c>
      <c r="M59" s="8">
        <v>102.1782</v>
      </c>
      <c r="N59" s="8">
        <v>14.731444678260077</v>
      </c>
      <c r="O59" s="8">
        <v>3.8884607083458533E-2</v>
      </c>
      <c r="P59" s="8">
        <v>4.4074746975304946E-4</v>
      </c>
      <c r="Q59" s="8">
        <v>0.55168602606650019</v>
      </c>
      <c r="R59" s="3">
        <v>1.06252358106702E-2</v>
      </c>
      <c r="S59" s="33">
        <v>1.0212251572429743E-2</v>
      </c>
      <c r="T59" s="5">
        <v>43.4</v>
      </c>
      <c r="U59" s="34">
        <v>0.20469052499999998</v>
      </c>
      <c r="V59">
        <v>554.53067503310399</v>
      </c>
    </row>
    <row r="60" spans="1:22" ht="16" x14ac:dyDescent="0.2">
      <c r="A60" s="2" t="s">
        <v>16</v>
      </c>
      <c r="B60" s="5">
        <v>2022</v>
      </c>
      <c r="C60" s="8">
        <v>8.0168427757964302</v>
      </c>
      <c r="D60" s="4">
        <v>1.9636863198747896</v>
      </c>
      <c r="E60" s="6">
        <v>-5.1725655835581641E-3</v>
      </c>
      <c r="F60" s="8">
        <v>0.95650000000000002</v>
      </c>
      <c r="G60" s="4">
        <v>1811006</v>
      </c>
      <c r="H60" s="7">
        <v>-4.8381071000000002</v>
      </c>
      <c r="I60" s="4">
        <v>5387554.2244282002</v>
      </c>
      <c r="J60" s="8">
        <v>3.2887</v>
      </c>
      <c r="K60" s="8">
        <v>47.198</v>
      </c>
      <c r="L60" s="7">
        <v>1</v>
      </c>
      <c r="M60" s="8">
        <v>114.8181</v>
      </c>
      <c r="N60" s="8">
        <v>14.785133815938924</v>
      </c>
      <c r="O60" s="8">
        <v>3.8944190264844372E-2</v>
      </c>
      <c r="P60" s="8">
        <v>3.8941135945727746E-4</v>
      </c>
      <c r="Q60" s="8">
        <v>0.58244092759459321</v>
      </c>
      <c r="R60" s="3">
        <v>1.080189171709561E-2</v>
      </c>
      <c r="S60" s="33">
        <v>-2.0229648711727066E-2</v>
      </c>
      <c r="T60" s="5">
        <v>44.8</v>
      </c>
      <c r="U60" s="34">
        <v>0.23766538333333329</v>
      </c>
      <c r="V60">
        <v>623.75970091118199</v>
      </c>
    </row>
    <row r="61" spans="1:22" x14ac:dyDescent="0.2">
      <c r="C61" s="8"/>
      <c r="E61" s="9"/>
      <c r="F61" s="8"/>
      <c r="G61" s="4"/>
      <c r="I61" s="4"/>
      <c r="J61" s="8"/>
      <c r="K61" s="8"/>
      <c r="L61" s="7"/>
      <c r="M61" s="8"/>
      <c r="N61" s="8"/>
      <c r="O61" s="8"/>
      <c r="P61" s="11"/>
      <c r="Q61" s="8"/>
      <c r="R61" s="3"/>
    </row>
    <row r="62" spans="1:22" ht="16" x14ac:dyDescent="0.2">
      <c r="A62" s="2" t="s">
        <v>17</v>
      </c>
      <c r="B62" s="5">
        <v>2014</v>
      </c>
      <c r="C62" s="8">
        <v>3.6236993734634106</v>
      </c>
      <c r="D62" s="4">
        <v>1.4110065715274511</v>
      </c>
      <c r="E62" s="6">
        <v>3.2802583487198823E-3</v>
      </c>
      <c r="F62" s="8">
        <v>1.0714999999999999</v>
      </c>
      <c r="G62" s="4">
        <v>1427461</v>
      </c>
      <c r="H62" s="7">
        <v>21.068331100000002</v>
      </c>
      <c r="I62" s="4">
        <v>1809331.5288880002</v>
      </c>
      <c r="J62" s="8">
        <v>2.7742</v>
      </c>
      <c r="K62" s="8">
        <v>52.6629</v>
      </c>
      <c r="L62" s="7">
        <v>1</v>
      </c>
      <c r="M62" s="8">
        <v>193.40629999999999</v>
      </c>
      <c r="N62" s="8">
        <v>13.603779458676984</v>
      </c>
      <c r="O62" s="8">
        <v>5.3477009178380094E-2</v>
      </c>
      <c r="P62" s="8">
        <v>6.1745200100465133E-4</v>
      </c>
      <c r="Q62" s="8">
        <v>1.3268563338650103</v>
      </c>
      <c r="R62" s="3">
        <v>9.2862284028790675E-3</v>
      </c>
      <c r="S62" s="33">
        <v>-3.0915019181547123E-2</v>
      </c>
      <c r="T62" s="5">
        <v>47.2</v>
      </c>
      <c r="U62" s="34">
        <v>0.31237478333333329</v>
      </c>
      <c r="V62">
        <v>493.757329875312</v>
      </c>
    </row>
    <row r="63" spans="1:22" ht="16" x14ac:dyDescent="0.2">
      <c r="A63" s="2" t="s">
        <v>17</v>
      </c>
      <c r="B63" s="5">
        <v>2015</v>
      </c>
      <c r="C63" s="8">
        <v>3.4177596417589817</v>
      </c>
      <c r="D63" s="4">
        <v>2.0053692900829549</v>
      </c>
      <c r="E63" s="6">
        <v>-2.6142100501656751E-3</v>
      </c>
      <c r="F63" s="8">
        <v>1.0349999999999999</v>
      </c>
      <c r="G63" s="4">
        <v>1261180</v>
      </c>
      <c r="H63" s="7">
        <v>-11.6487246</v>
      </c>
      <c r="I63" s="4">
        <v>2044238.4726127</v>
      </c>
      <c r="J63" s="8">
        <v>2.9977999999999998</v>
      </c>
      <c r="K63" s="8">
        <v>49.229100000000003</v>
      </c>
      <c r="L63" s="7">
        <v>1</v>
      </c>
      <c r="M63" s="8">
        <v>106.59780000000001</v>
      </c>
      <c r="N63" s="8">
        <v>13.639891228185482</v>
      </c>
      <c r="O63" s="8">
        <v>4.9976681806929553E-2</v>
      </c>
      <c r="P63" s="8">
        <v>5.7184262185580787E-4</v>
      </c>
      <c r="Q63" s="8">
        <v>1.1482864627891731</v>
      </c>
      <c r="R63" s="3">
        <v>9.0113467181895061E-3</v>
      </c>
      <c r="S63" s="33">
        <v>-1.4834801845660568E-2</v>
      </c>
      <c r="T63" s="5">
        <v>49.2</v>
      </c>
      <c r="U63" s="34">
        <v>0.24796339999999997</v>
      </c>
      <c r="V63">
        <v>591.21169798260996</v>
      </c>
    </row>
    <row r="64" spans="1:22" ht="16" x14ac:dyDescent="0.2">
      <c r="A64" s="2" t="s">
        <v>17</v>
      </c>
      <c r="B64" s="5">
        <v>2016</v>
      </c>
      <c r="C64" s="8">
        <v>3.1015320858054669</v>
      </c>
      <c r="D64" s="4">
        <v>0.13201024624573632</v>
      </c>
      <c r="E64" s="6">
        <v>1.6568166221848302E-2</v>
      </c>
      <c r="F64" s="8">
        <v>1.0104</v>
      </c>
      <c r="G64" s="4">
        <v>1349409</v>
      </c>
      <c r="H64" s="7">
        <v>6.995750000000001</v>
      </c>
      <c r="I64" s="4">
        <v>1760474.143104</v>
      </c>
      <c r="J64" s="8">
        <v>3.1642000000000001</v>
      </c>
      <c r="K64" s="8">
        <v>47.097200000000001</v>
      </c>
      <c r="L64" s="7">
        <v>1</v>
      </c>
      <c r="M64" s="8">
        <v>106.9624</v>
      </c>
      <c r="N64" s="8">
        <v>13.589006601808867</v>
      </c>
      <c r="O64" s="8">
        <v>4.2275881963794233E-2</v>
      </c>
      <c r="P64" s="8">
        <v>5.7919000823415613E-4</v>
      </c>
      <c r="Q64" s="8">
        <v>1.0887561311455183</v>
      </c>
      <c r="R64" s="3">
        <v>9.9080626554976861E-3</v>
      </c>
      <c r="S64" s="33">
        <v>3.0077789031008589E-2</v>
      </c>
      <c r="T64" s="5">
        <v>45</v>
      </c>
      <c r="U64" s="34">
        <v>0.3312161666666667</v>
      </c>
      <c r="V64">
        <v>592.60561506302201</v>
      </c>
    </row>
    <row r="65" spans="1:22" ht="16" x14ac:dyDescent="0.2">
      <c r="A65" s="2" t="s">
        <v>17</v>
      </c>
      <c r="B65" s="5">
        <v>2017</v>
      </c>
      <c r="C65" s="8">
        <v>3.2534934130120781</v>
      </c>
      <c r="D65" s="4">
        <v>-9.1930468122349023</v>
      </c>
      <c r="E65" s="6">
        <v>0.10870607194333846</v>
      </c>
      <c r="F65" s="8">
        <v>1.0504</v>
      </c>
      <c r="G65" s="4">
        <v>1281421</v>
      </c>
      <c r="H65" s="7">
        <v>-5.0383537999999994</v>
      </c>
      <c r="I65" s="4">
        <v>1752130.9518984</v>
      </c>
      <c r="J65" s="8">
        <v>3.1200999999999999</v>
      </c>
      <c r="K65" s="8">
        <v>47.5242</v>
      </c>
      <c r="L65" s="7">
        <v>1</v>
      </c>
      <c r="M65" s="8">
        <v>108.7872</v>
      </c>
      <c r="N65" s="8">
        <v>13.645755828385719</v>
      </c>
      <c r="O65" s="8">
        <v>3.8809802674248488E-2</v>
      </c>
      <c r="P65" s="8">
        <v>6.5003188295761124E-4</v>
      </c>
      <c r="Q65" s="8">
        <v>0.9299168897631559</v>
      </c>
      <c r="R65" s="3">
        <v>1.0522434869496533E-2</v>
      </c>
      <c r="S65" s="33">
        <v>0.10400088774297593</v>
      </c>
      <c r="T65" s="5">
        <v>44.4</v>
      </c>
      <c r="U65" s="34">
        <v>0.30180815833333335</v>
      </c>
      <c r="V65">
        <v>580.65674958785803</v>
      </c>
    </row>
    <row r="66" spans="1:22" ht="16" x14ac:dyDescent="0.2">
      <c r="A66" s="2" t="s">
        <v>17</v>
      </c>
      <c r="B66" s="5">
        <v>2018</v>
      </c>
      <c r="C66" s="8">
        <v>4.0426394696554864</v>
      </c>
      <c r="D66" s="4">
        <v>2.8864741368642064</v>
      </c>
      <c r="E66" s="6">
        <v>-1.179591656587386E-2</v>
      </c>
      <c r="F66" s="8">
        <v>0.99739999999999995</v>
      </c>
      <c r="G66" s="4">
        <v>1097953</v>
      </c>
      <c r="H66" s="7">
        <v>-14.3175428</v>
      </c>
      <c r="I66" s="4">
        <v>2172035.2804980003</v>
      </c>
      <c r="J66" s="8">
        <v>2.9015</v>
      </c>
      <c r="K66" s="8">
        <v>36.421999999999997</v>
      </c>
      <c r="L66" s="7">
        <v>1</v>
      </c>
      <c r="M66" s="8">
        <v>104.5688</v>
      </c>
      <c r="N66" s="8">
        <v>13.700899958556374</v>
      </c>
      <c r="O66" s="8">
        <v>4.8089560357456193E-2</v>
      </c>
      <c r="P66" s="8">
        <v>5.2807733103029904E-4</v>
      </c>
      <c r="Q66" s="8">
        <v>0.73813994858242726</v>
      </c>
      <c r="R66" s="3">
        <v>1.0556344572669168E-2</v>
      </c>
      <c r="S66" s="33">
        <v>0.11043420027417027</v>
      </c>
      <c r="T66" s="5">
        <v>44.1</v>
      </c>
      <c r="U66" s="34">
        <v>0.21956370000000003</v>
      </c>
      <c r="V66">
        <v>555.44645839822601</v>
      </c>
    </row>
    <row r="67" spans="1:22" ht="16" x14ac:dyDescent="0.2">
      <c r="A67" s="2" t="s">
        <v>17</v>
      </c>
      <c r="B67" s="5">
        <v>2019</v>
      </c>
      <c r="C67" s="8">
        <v>1.7596680837431109</v>
      </c>
      <c r="D67" s="4">
        <v>0.90832482709464479</v>
      </c>
      <c r="E67" s="6">
        <v>8.7331171675836469E-3</v>
      </c>
      <c r="F67" s="8">
        <v>0.98229999999999995</v>
      </c>
      <c r="G67" s="4">
        <v>996322</v>
      </c>
      <c r="H67" s="7">
        <v>-9.2564071999999999</v>
      </c>
      <c r="I67" s="4">
        <v>3774541.9056074996</v>
      </c>
      <c r="J67" s="8">
        <v>2.0162</v>
      </c>
      <c r="K67" s="8">
        <v>52.3444</v>
      </c>
      <c r="L67" s="7">
        <v>1</v>
      </c>
      <c r="M67" s="8">
        <v>102.2842</v>
      </c>
      <c r="N67" s="8">
        <v>14.435113601616296</v>
      </c>
      <c r="O67" s="8">
        <v>3.266517825537165E-2</v>
      </c>
      <c r="P67" s="8">
        <v>2.4259182464346217E-4</v>
      </c>
      <c r="Q67" s="8">
        <v>1.5286513856134158</v>
      </c>
      <c r="R67" s="3">
        <v>9.9578952879398677E-3</v>
      </c>
      <c r="S67" s="33">
        <v>7.3452735650900214E-2</v>
      </c>
      <c r="T67" s="5">
        <v>43</v>
      </c>
      <c r="U67" s="34">
        <v>0.13867664166666668</v>
      </c>
      <c r="V67">
        <v>585.91101318036897</v>
      </c>
    </row>
    <row r="68" spans="1:22" ht="16" x14ac:dyDescent="0.2">
      <c r="A68" s="2" t="s">
        <v>17</v>
      </c>
      <c r="B68" s="5">
        <v>2020</v>
      </c>
      <c r="C68" s="8">
        <v>1.8565300366072544</v>
      </c>
      <c r="D68" s="4">
        <v>2.0879228864676724</v>
      </c>
      <c r="E68" s="6">
        <v>1.7059052021052509E-2</v>
      </c>
      <c r="F68" s="8">
        <v>0.94440000000000002</v>
      </c>
      <c r="G68" s="4">
        <v>669956</v>
      </c>
      <c r="H68" s="7">
        <v>-32.757080500000001</v>
      </c>
      <c r="I68" s="4">
        <v>3959342.5417849999</v>
      </c>
      <c r="J68" s="8">
        <v>2.9296000000000002</v>
      </c>
      <c r="K68" s="8">
        <v>46.644799999999996</v>
      </c>
      <c r="L68" s="7">
        <v>1</v>
      </c>
      <c r="M68" s="8">
        <v>82.637600000000006</v>
      </c>
      <c r="N68" s="8">
        <v>14.407915337385937</v>
      </c>
      <c r="O68" s="8">
        <v>3.710743468636462E-2</v>
      </c>
      <c r="P68" s="8">
        <v>2.3724385158268771E-4</v>
      </c>
      <c r="Q68" s="8">
        <v>1.546166065978019</v>
      </c>
      <c r="R68" s="3">
        <v>1.0196875095689463E-2</v>
      </c>
      <c r="S68" s="33">
        <v>-8.0002386939810141E-2</v>
      </c>
      <c r="T68" s="5">
        <v>42.9</v>
      </c>
      <c r="U68" s="34">
        <v>0.15699912500000002</v>
      </c>
      <c r="V68">
        <v>575.58600451094503</v>
      </c>
    </row>
    <row r="69" spans="1:22" ht="16" x14ac:dyDescent="0.2">
      <c r="A69" s="2" t="s">
        <v>17</v>
      </c>
      <c r="B69" s="5">
        <v>2021</v>
      </c>
      <c r="C69" s="8">
        <v>1.9744381625842531</v>
      </c>
      <c r="D69" s="4">
        <v>3.1602037419826421</v>
      </c>
      <c r="E69" s="6">
        <v>-1.3808217535191854E-2</v>
      </c>
      <c r="F69" s="8">
        <v>0.96089999999999998</v>
      </c>
      <c r="G69" s="4">
        <v>700600</v>
      </c>
      <c r="H69" s="7">
        <v>4.5740316999999999</v>
      </c>
      <c r="I69" s="4">
        <v>4212182.3494896004</v>
      </c>
      <c r="J69" s="8">
        <v>2.7</v>
      </c>
      <c r="K69" s="8">
        <v>47.888300000000001</v>
      </c>
      <c r="L69" s="7">
        <v>1</v>
      </c>
      <c r="M69" s="8">
        <v>75.474199999999996</v>
      </c>
      <c r="N69" s="8">
        <v>14.380358766593824</v>
      </c>
      <c r="O69" s="8">
        <v>3.9481501799122354E-2</v>
      </c>
      <c r="P69" s="8">
        <v>2.7447437368127497E-4</v>
      </c>
      <c r="Q69" s="8">
        <v>1.0627380245530367</v>
      </c>
      <c r="R69" s="3">
        <v>1.0302333771797647E-2</v>
      </c>
      <c r="S69" s="33">
        <v>1.0212251572429743E-2</v>
      </c>
      <c r="T69" s="5">
        <v>43.4</v>
      </c>
      <c r="U69" s="34">
        <v>0.20469052499999998</v>
      </c>
      <c r="V69">
        <v>554.53067503310399</v>
      </c>
    </row>
    <row r="70" spans="1:22" ht="16" x14ac:dyDescent="0.2">
      <c r="A70" s="2" t="s">
        <v>17</v>
      </c>
      <c r="B70" s="5">
        <v>2022</v>
      </c>
      <c r="C70" s="8">
        <v>2.5459841042538569</v>
      </c>
      <c r="D70" s="4">
        <v>2.9193770124413256</v>
      </c>
      <c r="E70" s="6">
        <v>-1.3571032980098676E-2</v>
      </c>
      <c r="F70" s="8">
        <v>0.9556</v>
      </c>
      <c r="G70" s="4">
        <v>556748</v>
      </c>
      <c r="H70" s="7">
        <v>-20.532686299999998</v>
      </c>
      <c r="I70" s="4">
        <v>4170673.0691212001</v>
      </c>
      <c r="J70" s="8">
        <v>2.665</v>
      </c>
      <c r="K70" s="8">
        <v>45.6661</v>
      </c>
      <c r="L70" s="7">
        <v>1</v>
      </c>
      <c r="M70" s="8">
        <v>68.691000000000003</v>
      </c>
      <c r="N70" s="8">
        <v>14.417791053557909</v>
      </c>
      <c r="O70" s="8">
        <v>4.1469909205539439E-2</v>
      </c>
      <c r="P70" s="8">
        <v>2.458094884722925E-4</v>
      </c>
      <c r="Q70" s="8">
        <v>0.81047508904857168</v>
      </c>
      <c r="R70" s="3">
        <v>9.8902810780049227E-3</v>
      </c>
      <c r="S70" s="33">
        <v>-2.0229648711727066E-2</v>
      </c>
      <c r="T70" s="5">
        <v>44.8</v>
      </c>
      <c r="U70" s="34">
        <v>0.23766538333333329</v>
      </c>
      <c r="V70">
        <v>623.75970091118199</v>
      </c>
    </row>
    <row r="71" spans="1:22" x14ac:dyDescent="0.2">
      <c r="O71" s="8"/>
    </row>
    <row r="72" spans="1:22" ht="16" x14ac:dyDescent="0.2">
      <c r="A72" s="2" t="s">
        <v>18</v>
      </c>
      <c r="B72" s="5">
        <v>2014</v>
      </c>
      <c r="C72" s="8">
        <v>3.0961599731794571</v>
      </c>
      <c r="D72" s="4">
        <v>1.3313436178884002</v>
      </c>
      <c r="E72" s="6">
        <v>3.3765893732077079E-3</v>
      </c>
      <c r="F72" s="8">
        <v>0.9859</v>
      </c>
      <c r="G72" s="4">
        <v>193604944</v>
      </c>
      <c r="H72" s="7">
        <v>397.0176596</v>
      </c>
      <c r="I72" s="4">
        <v>1035244.5417383001</v>
      </c>
      <c r="J72" s="8">
        <v>4.0347999999999997</v>
      </c>
      <c r="K72" s="8">
        <v>54.268900000000002</v>
      </c>
      <c r="L72" s="7">
        <v>0</v>
      </c>
      <c r="M72" s="8">
        <v>146.16890000000001</v>
      </c>
      <c r="N72" s="8">
        <v>12.393185733747506</v>
      </c>
      <c r="O72" s="8">
        <v>4.5067408817426158E-2</v>
      </c>
      <c r="P72" s="8">
        <v>1.6392563182039455E-4</v>
      </c>
      <c r="Q72" s="8">
        <v>2.2178837953512955</v>
      </c>
      <c r="R72" s="3">
        <v>1.3956269997979397E-2</v>
      </c>
      <c r="S72" s="33">
        <v>-3.0915019181547123E-2</v>
      </c>
      <c r="T72" s="5">
        <v>47.2</v>
      </c>
      <c r="U72" s="34">
        <v>0.31237478333333329</v>
      </c>
      <c r="V72">
        <v>493.757329875312</v>
      </c>
    </row>
    <row r="73" spans="1:22" ht="16" x14ac:dyDescent="0.2">
      <c r="A73" s="2" t="s">
        <v>18</v>
      </c>
      <c r="B73" s="5">
        <v>2015</v>
      </c>
      <c r="C73" s="8">
        <v>3.7878134913221158</v>
      </c>
      <c r="D73" s="4">
        <v>0.49764243447837775</v>
      </c>
      <c r="E73" s="6">
        <v>1.0880544494761701E-2</v>
      </c>
      <c r="F73" s="8">
        <v>0.96940000000000004</v>
      </c>
      <c r="G73" s="4">
        <v>204141249</v>
      </c>
      <c r="H73" s="7">
        <v>5.4421672999999995</v>
      </c>
      <c r="I73" s="4">
        <v>1040758.5089520001</v>
      </c>
      <c r="J73" s="8">
        <v>4.4898999999999996</v>
      </c>
      <c r="K73" s="8">
        <v>51.948500000000003</v>
      </c>
      <c r="L73" s="7">
        <v>0</v>
      </c>
      <c r="M73" s="8">
        <v>188.12440000000001</v>
      </c>
      <c r="N73" s="8">
        <v>12.37219808375006</v>
      </c>
      <c r="O73" s="8">
        <v>5.3638167698117946E-2</v>
      </c>
      <c r="P73" s="8">
        <v>1.2109949341020587E-4</v>
      </c>
      <c r="Q73" s="8">
        <v>1.3229840948528031</v>
      </c>
      <c r="R73" s="3">
        <v>1.7058460894021275E-2</v>
      </c>
      <c r="S73" s="33">
        <v>-1.4834801845660568E-2</v>
      </c>
      <c r="T73" s="5">
        <v>49.2</v>
      </c>
      <c r="U73" s="34">
        <v>0.24796339999999997</v>
      </c>
      <c r="V73">
        <v>591.21169798260996</v>
      </c>
    </row>
    <row r="74" spans="1:22" ht="16" x14ac:dyDescent="0.2">
      <c r="A74" s="2" t="s">
        <v>18</v>
      </c>
      <c r="B74" s="5">
        <v>2016</v>
      </c>
      <c r="C74" s="8">
        <v>6.186202923818378</v>
      </c>
      <c r="D74" s="4">
        <v>2.1006657122669425</v>
      </c>
      <c r="E74" s="6">
        <v>-2.0401369347162747E-4</v>
      </c>
      <c r="F74" s="8">
        <v>1.0412999999999999</v>
      </c>
      <c r="G74" s="4">
        <v>250223529</v>
      </c>
      <c r="H74" s="7">
        <v>22.573723000000001</v>
      </c>
      <c r="I74" s="4">
        <v>996822.48005599994</v>
      </c>
      <c r="J74" s="8">
        <v>5.0617000000000001</v>
      </c>
      <c r="K74" s="8">
        <v>45.510100000000001</v>
      </c>
      <c r="L74" s="7">
        <v>1</v>
      </c>
      <c r="M74" s="8">
        <v>166.65780000000001</v>
      </c>
      <c r="N74" s="8">
        <v>12.362120292120599</v>
      </c>
      <c r="O74" s="8">
        <v>6.218084062997413E-2</v>
      </c>
      <c r="P74" s="8">
        <v>1.3948666885757818E-4</v>
      </c>
      <c r="Q74" s="8">
        <v>0.68352549787665995</v>
      </c>
      <c r="R74" s="3">
        <v>1.6043446968495592E-2</v>
      </c>
      <c r="S74" s="33">
        <v>3.0077789031008589E-2</v>
      </c>
      <c r="T74" s="5">
        <v>45</v>
      </c>
      <c r="U74" s="34">
        <v>0.3312161666666667</v>
      </c>
      <c r="V74">
        <v>592.60561506302201</v>
      </c>
    </row>
    <row r="75" spans="1:22" ht="16" x14ac:dyDescent="0.2">
      <c r="A75" s="2" t="s">
        <v>18</v>
      </c>
      <c r="B75" s="5">
        <v>2017</v>
      </c>
      <c r="C75" s="8">
        <v>6.0714483870346756</v>
      </c>
      <c r="D75" s="4">
        <v>4.6045662906606051</v>
      </c>
      <c r="E75" s="6">
        <v>-3.3394587807836246E-2</v>
      </c>
      <c r="F75" s="8">
        <v>1.0993999999999999</v>
      </c>
      <c r="G75" s="4">
        <v>485931685</v>
      </c>
      <c r="H75" s="7">
        <v>94.199037500000003</v>
      </c>
      <c r="I75" s="4">
        <v>964753.04120440001</v>
      </c>
      <c r="J75" s="8">
        <v>4.9290000000000003</v>
      </c>
      <c r="K75" s="8">
        <v>52.634999999999998</v>
      </c>
      <c r="L75" s="7">
        <v>1</v>
      </c>
      <c r="M75" s="8">
        <v>158.67689999999999</v>
      </c>
      <c r="N75" s="8">
        <v>12.465876882074532</v>
      </c>
      <c r="O75" s="8">
        <v>5.5052514081779462E-2</v>
      </c>
      <c r="P75" s="8">
        <v>1.6846739680360625E-4</v>
      </c>
      <c r="Q75" s="8">
        <v>0.60607685913892217</v>
      </c>
      <c r="R75" s="3">
        <v>1.445735787376785E-2</v>
      </c>
      <c r="S75" s="33">
        <v>0.10400088774297593</v>
      </c>
      <c r="T75" s="5">
        <v>44.4</v>
      </c>
      <c r="U75" s="34">
        <v>0.30180815833333335</v>
      </c>
      <c r="V75">
        <v>580.65674958785803</v>
      </c>
    </row>
    <row r="76" spans="1:22" ht="16" x14ac:dyDescent="0.2">
      <c r="A76" s="2" t="s">
        <v>18</v>
      </c>
      <c r="B76" s="5">
        <v>2018</v>
      </c>
      <c r="C76" s="8">
        <v>5.5524564809230332</v>
      </c>
      <c r="D76" s="4">
        <v>2.0636038405755808</v>
      </c>
      <c r="E76" s="6">
        <v>-8.1085081335392807E-3</v>
      </c>
      <c r="F76" s="8">
        <v>1.0454000000000001</v>
      </c>
      <c r="G76" s="4">
        <v>474250375</v>
      </c>
      <c r="H76" s="7">
        <v>-2.4038995999999999</v>
      </c>
      <c r="I76" s="4">
        <v>940339.66001060011</v>
      </c>
      <c r="J76" s="8">
        <v>4.6368</v>
      </c>
      <c r="K76" s="8">
        <v>52.314100000000003</v>
      </c>
      <c r="L76" s="7">
        <v>1</v>
      </c>
      <c r="M76" s="8">
        <v>148.2936</v>
      </c>
      <c r="N76" s="8">
        <v>12.632416592460761</v>
      </c>
      <c r="O76" s="8">
        <v>4.7213501363906341E-2</v>
      </c>
      <c r="P76" s="8">
        <v>1.3473428873132201E-4</v>
      </c>
      <c r="Q76" s="8">
        <v>0.68128369464939964</v>
      </c>
      <c r="R76" s="3">
        <v>1.2542866686762423E-2</v>
      </c>
      <c r="S76" s="33">
        <v>0.11043420027417027</v>
      </c>
      <c r="T76" s="5">
        <v>44.1</v>
      </c>
      <c r="U76" s="34">
        <v>0.21956370000000003</v>
      </c>
      <c r="V76">
        <v>555.44645839822601</v>
      </c>
    </row>
    <row r="77" spans="1:22" ht="16" x14ac:dyDescent="0.2">
      <c r="A77" s="2" t="s">
        <v>18</v>
      </c>
      <c r="B77" s="5">
        <v>2019</v>
      </c>
      <c r="C77" s="8">
        <v>5.075636214533076</v>
      </c>
      <c r="D77" s="4">
        <v>1.3498829590815822</v>
      </c>
      <c r="E77" s="6">
        <v>-3.1386784756657548E-3</v>
      </c>
      <c r="F77" s="8">
        <v>1.0384</v>
      </c>
      <c r="G77" s="4">
        <v>502635965</v>
      </c>
      <c r="H77" s="7">
        <v>5.9853595000000004</v>
      </c>
      <c r="I77" s="4">
        <v>955984.41740259994</v>
      </c>
      <c r="J77" s="8">
        <v>4.4642999999999997</v>
      </c>
      <c r="K77" s="8">
        <v>53.184199999999997</v>
      </c>
      <c r="L77" s="7">
        <v>1</v>
      </c>
      <c r="M77" s="8">
        <v>167.56200000000001</v>
      </c>
      <c r="N77" s="8">
        <v>12.649764402360429</v>
      </c>
      <c r="O77" s="8">
        <v>4.4655173960246992E-2</v>
      </c>
      <c r="P77" s="8">
        <v>1.1943326185573937E-4</v>
      </c>
      <c r="Q77" s="8">
        <v>0.78385494750055507</v>
      </c>
      <c r="R77" s="3">
        <v>1.3773242507382795E-2</v>
      </c>
      <c r="S77" s="33">
        <v>7.3452735650900214E-2</v>
      </c>
      <c r="T77" s="5">
        <v>43</v>
      </c>
      <c r="U77" s="34">
        <v>0.13867664166666668</v>
      </c>
      <c r="V77">
        <v>585.91101318036897</v>
      </c>
    </row>
    <row r="78" spans="1:22" ht="16" x14ac:dyDescent="0.2">
      <c r="A78" s="2" t="s">
        <v>18</v>
      </c>
      <c r="B78" s="5">
        <v>2020</v>
      </c>
      <c r="C78" s="8">
        <v>4.0185647022419841</v>
      </c>
      <c r="D78" s="4">
        <v>2.2943528191506704</v>
      </c>
      <c r="E78" s="6">
        <v>8.542973631756566E-3</v>
      </c>
      <c r="F78" s="8">
        <v>0.99260000000000004</v>
      </c>
      <c r="G78" s="4">
        <v>677360566</v>
      </c>
      <c r="H78" s="7">
        <v>34.761659199999997</v>
      </c>
      <c r="I78" s="4">
        <v>845621.09313040006</v>
      </c>
      <c r="J78" s="8">
        <v>4.8766999999999996</v>
      </c>
      <c r="K78" s="8">
        <v>50.165900000000001</v>
      </c>
      <c r="L78" s="7">
        <v>1</v>
      </c>
      <c r="M78" s="8">
        <v>85.3001</v>
      </c>
      <c r="N78" s="8">
        <v>12.803289748188664</v>
      </c>
      <c r="O78" s="8">
        <v>4.8188003168029167E-2</v>
      </c>
      <c r="P78" s="8">
        <v>1.3707088114747236E-4</v>
      </c>
      <c r="Q78" s="8">
        <v>0.75613791653299878</v>
      </c>
      <c r="R78" s="3">
        <v>1.08120409729554E-2</v>
      </c>
      <c r="S78" s="33">
        <v>-8.0002386939810141E-2</v>
      </c>
      <c r="T78" s="5">
        <v>42.9</v>
      </c>
      <c r="U78" s="34">
        <v>0.15699912500000002</v>
      </c>
      <c r="V78">
        <v>575.58600451094503</v>
      </c>
    </row>
    <row r="79" spans="1:22" ht="16" x14ac:dyDescent="0.2">
      <c r="A79" s="2" t="s">
        <v>18</v>
      </c>
      <c r="B79" s="5">
        <v>2021</v>
      </c>
      <c r="C79" s="8">
        <v>4.1445607665899047</v>
      </c>
      <c r="D79" s="4">
        <v>1.6362839706373464</v>
      </c>
      <c r="E79" s="6">
        <v>-1.0458782672602251E-3</v>
      </c>
      <c r="F79" s="8">
        <v>0.999</v>
      </c>
      <c r="G79" s="4">
        <v>724415681</v>
      </c>
      <c r="H79" s="7">
        <v>6.9468341000000002</v>
      </c>
      <c r="I79" s="4">
        <v>1019132.6960968002</v>
      </c>
      <c r="J79" s="8">
        <v>4.7586000000000004</v>
      </c>
      <c r="K79" s="8">
        <v>46.392200000000003</v>
      </c>
      <c r="L79" s="7">
        <v>1</v>
      </c>
      <c r="M79" s="8">
        <v>123.2137</v>
      </c>
      <c r="N79" s="8">
        <v>12.985680053516395</v>
      </c>
      <c r="O79" s="8">
        <v>5.2289523353857538E-2</v>
      </c>
      <c r="P79" s="8">
        <v>8.5871959653863989E-5</v>
      </c>
      <c r="Q79" s="8">
        <v>0.48588784122569284</v>
      </c>
      <c r="R79" s="3">
        <v>1.0945648154214321E-2</v>
      </c>
      <c r="S79" s="33">
        <v>1.0212251572429743E-2</v>
      </c>
      <c r="T79" s="5">
        <v>43.4</v>
      </c>
      <c r="U79" s="34">
        <v>0.20469052499999998</v>
      </c>
      <c r="V79">
        <v>554.53067503310399</v>
      </c>
    </row>
    <row r="80" spans="1:22" ht="16" x14ac:dyDescent="0.2">
      <c r="A80" s="2" t="s">
        <v>18</v>
      </c>
      <c r="B80" s="5">
        <v>2022</v>
      </c>
      <c r="C80" s="8">
        <v>4.2123379660166558</v>
      </c>
      <c r="D80" s="4">
        <v>-0.56155491313155104</v>
      </c>
      <c r="E80" s="6">
        <v>2.0260969901896995E-2</v>
      </c>
      <c r="F80" s="8">
        <v>1.0091000000000001</v>
      </c>
      <c r="G80" s="4">
        <v>703655352</v>
      </c>
      <c r="H80" s="7">
        <v>-2.8658033999999999</v>
      </c>
      <c r="I80" s="4">
        <v>1303104.225206</v>
      </c>
      <c r="J80" s="8">
        <v>4.5141</v>
      </c>
      <c r="K80" s="8">
        <v>47.252200000000002</v>
      </c>
      <c r="L80" s="7">
        <v>1</v>
      </c>
      <c r="M80" s="8">
        <v>141.52780000000001</v>
      </c>
      <c r="N80" s="8">
        <v>13.137521939665259</v>
      </c>
      <c r="O80" s="8">
        <v>4.9418909647869234E-2</v>
      </c>
      <c r="P80" s="8">
        <v>5.7037663960878312E-5</v>
      </c>
      <c r="Q80" s="8">
        <v>0.48358795506220403</v>
      </c>
      <c r="R80" s="3">
        <v>1.1580120269903319E-2</v>
      </c>
      <c r="S80" s="33">
        <v>-2.0229648711727066E-2</v>
      </c>
      <c r="T80" s="5">
        <v>44.8</v>
      </c>
      <c r="U80" s="34">
        <v>0.23766538333333329</v>
      </c>
      <c r="V80">
        <v>623.75970091118199</v>
      </c>
    </row>
    <row r="81" spans="1:22" x14ac:dyDescent="0.2">
      <c r="A81" s="5" t="s">
        <v>70</v>
      </c>
      <c r="C81" s="8"/>
      <c r="E81" s="9"/>
      <c r="F81" s="8"/>
      <c r="G81" s="4"/>
      <c r="I81" s="4"/>
      <c r="J81" s="8"/>
      <c r="K81" s="8"/>
      <c r="L81" s="7"/>
      <c r="M81" s="8"/>
      <c r="N81" s="8"/>
      <c r="O81" s="8"/>
      <c r="P81" s="11"/>
      <c r="Q81" s="8"/>
      <c r="R81" s="3"/>
    </row>
    <row r="82" spans="1:22" ht="16" x14ac:dyDescent="0.2">
      <c r="A82" s="2" t="s">
        <v>19</v>
      </c>
      <c r="B82" s="5">
        <v>2014</v>
      </c>
      <c r="C82" s="8">
        <v>8.0629555373798816</v>
      </c>
      <c r="D82" s="4">
        <v>0.97347503362184196</v>
      </c>
      <c r="E82" s="6">
        <v>-1.1746482137581615E-3</v>
      </c>
      <c r="F82" s="8">
        <v>1.0507</v>
      </c>
      <c r="G82" s="4">
        <v>13943912</v>
      </c>
      <c r="H82" s="7">
        <v>44.242764699999995</v>
      </c>
      <c r="I82" s="4">
        <v>623396.03716159996</v>
      </c>
      <c r="J82" s="8">
        <v>1.9515</v>
      </c>
      <c r="K82" s="8">
        <v>47.417000000000002</v>
      </c>
      <c r="L82" s="7">
        <v>1</v>
      </c>
      <c r="M82" s="8">
        <v>185.83199999999999</v>
      </c>
      <c r="N82" s="8">
        <v>13.369692026789103</v>
      </c>
      <c r="O82" s="8">
        <v>1.4551812370045348E-2</v>
      </c>
      <c r="P82" s="8">
        <v>1.9373485611862175E-2</v>
      </c>
      <c r="Q82" s="8">
        <v>0.91054626394849247</v>
      </c>
      <c r="R82" s="3">
        <v>9.3152966431037185E-3</v>
      </c>
      <c r="S82" s="33">
        <v>4.5749844464168611E-2</v>
      </c>
      <c r="T82" s="5">
        <v>47.6</v>
      </c>
      <c r="U82" s="34">
        <v>3.642151666666666E-2</v>
      </c>
      <c r="V82">
        <v>3.2728597464304698</v>
      </c>
    </row>
    <row r="83" spans="1:22" ht="16" x14ac:dyDescent="0.2">
      <c r="A83" s="2" t="s">
        <v>19</v>
      </c>
      <c r="B83" s="5">
        <v>2015</v>
      </c>
      <c r="C83" s="8">
        <v>7.3878356151397737</v>
      </c>
      <c r="D83" s="4">
        <v>-0.35129801949661354</v>
      </c>
      <c r="E83" s="6">
        <v>1.839533478935125E-2</v>
      </c>
      <c r="F83" s="8">
        <v>1.0286999999999999</v>
      </c>
      <c r="G83" s="4">
        <v>18344043</v>
      </c>
      <c r="H83" s="7">
        <v>5.4421672999999995</v>
      </c>
      <c r="I83" s="4">
        <v>855467.65627310006</v>
      </c>
      <c r="J83" s="8">
        <v>1.9486000000000001</v>
      </c>
      <c r="K83" s="8">
        <v>47.982399999999998</v>
      </c>
      <c r="L83" s="7">
        <v>1</v>
      </c>
      <c r="M83" s="8">
        <v>160.03370000000001</v>
      </c>
      <c r="N83" s="8">
        <v>13.470685840489393</v>
      </c>
      <c r="O83" s="8">
        <v>1.339938877798582E-2</v>
      </c>
      <c r="P83" s="8">
        <v>1.2698332782610322E-2</v>
      </c>
      <c r="Q83" s="8">
        <v>0.97073633530500425</v>
      </c>
      <c r="R83" s="3">
        <v>9.6131213941720566E-3</v>
      </c>
      <c r="S83" s="33">
        <v>-0.10859218146637346</v>
      </c>
      <c r="T83" s="5">
        <v>49.2</v>
      </c>
      <c r="U83" s="34">
        <v>0.13826017499999999</v>
      </c>
      <c r="V83">
        <v>3.9055002630276801</v>
      </c>
    </row>
    <row r="84" spans="1:22" ht="16" x14ac:dyDescent="0.2">
      <c r="A84" s="2" t="s">
        <v>19</v>
      </c>
      <c r="B84" s="5">
        <v>2016</v>
      </c>
      <c r="C84" s="8">
        <v>6.8929866560513791</v>
      </c>
      <c r="D84" s="4">
        <v>6.611212427520619</v>
      </c>
      <c r="E84" s="6">
        <v>-5.3635897316758246E-2</v>
      </c>
      <c r="F84" s="8">
        <v>1.0203</v>
      </c>
      <c r="G84" s="4">
        <v>18057718</v>
      </c>
      <c r="H84" s="7">
        <v>-1.5608609</v>
      </c>
      <c r="I84" s="4">
        <v>1105553.4832566001</v>
      </c>
      <c r="J84" s="8">
        <v>1.8484</v>
      </c>
      <c r="K84" s="8">
        <v>48.025399999999998</v>
      </c>
      <c r="L84" s="7">
        <v>1</v>
      </c>
      <c r="M84" s="8">
        <v>130.20949999999999</v>
      </c>
      <c r="N84" s="8">
        <v>13.508925957085758</v>
      </c>
      <c r="O84" s="8">
        <v>1.6389175882520195E-2</v>
      </c>
      <c r="P84" s="8">
        <v>1.1575718880157558E-2</v>
      </c>
      <c r="Q84" s="8">
        <v>1.1050679818881035</v>
      </c>
      <c r="R84" s="3">
        <v>9.9163463214949482E-3</v>
      </c>
      <c r="S84" s="33">
        <v>-3.3001487623251439E-4</v>
      </c>
      <c r="T84" s="5">
        <v>51.5</v>
      </c>
      <c r="U84" s="34">
        <v>8.0427099999999987E-2</v>
      </c>
      <c r="V84">
        <v>4.14830066287879</v>
      </c>
    </row>
    <row r="85" spans="1:22" ht="16" x14ac:dyDescent="0.2">
      <c r="A85" s="2" t="s">
        <v>19</v>
      </c>
      <c r="B85" s="5">
        <v>2017</v>
      </c>
      <c r="C85" s="8">
        <v>7.366247410166145</v>
      </c>
      <c r="D85" s="4">
        <v>1.7492267830377857</v>
      </c>
      <c r="E85" s="6">
        <v>-9.7791630419841492E-3</v>
      </c>
      <c r="F85" s="8">
        <v>1.0427</v>
      </c>
      <c r="G85" s="4">
        <v>20502955</v>
      </c>
      <c r="H85" s="7">
        <v>13.541229299999999</v>
      </c>
      <c r="I85" s="4">
        <v>1154993.4252472001</v>
      </c>
      <c r="J85" s="8">
        <v>1.8786</v>
      </c>
      <c r="K85" s="8">
        <v>49.116199999999999</v>
      </c>
      <c r="L85" s="7">
        <v>1</v>
      </c>
      <c r="M85" s="8">
        <v>136.03739999999999</v>
      </c>
      <c r="N85" s="8">
        <v>13.548025500387144</v>
      </c>
      <c r="O85" s="8">
        <v>1.6727358911089781E-2</v>
      </c>
      <c r="P85" s="8">
        <v>1.2691038825461657E-2</v>
      </c>
      <c r="Q85" s="8">
        <v>1.002612137673021</v>
      </c>
      <c r="R85" s="3">
        <v>9.8372125935890752E-3</v>
      </c>
      <c r="S85" s="33">
        <v>5.9264581238536021E-2</v>
      </c>
      <c r="T85" s="5">
        <v>51.9</v>
      </c>
      <c r="U85" s="34">
        <v>7.8288908333333337E-2</v>
      </c>
      <c r="V85">
        <v>4.3004408776112397</v>
      </c>
    </row>
    <row r="86" spans="1:22" ht="16" x14ac:dyDescent="0.2">
      <c r="A86" s="2" t="s">
        <v>19</v>
      </c>
      <c r="B86" s="5">
        <v>2018</v>
      </c>
      <c r="C86" s="8">
        <v>7.5549949295258747</v>
      </c>
      <c r="D86" s="4">
        <v>1.4656011396945685</v>
      </c>
      <c r="E86" s="6">
        <v>-4.2146763167414192E-3</v>
      </c>
      <c r="F86" s="8">
        <v>1.0367</v>
      </c>
      <c r="G86" s="4">
        <v>22977368</v>
      </c>
      <c r="H86" s="7">
        <v>12.068567700000001</v>
      </c>
      <c r="I86" s="4">
        <v>1248658.2280112999</v>
      </c>
      <c r="J86" s="8">
        <v>1.7248000000000001</v>
      </c>
      <c r="K86" s="8">
        <v>47.417499999999997</v>
      </c>
      <c r="L86" s="7">
        <v>1</v>
      </c>
      <c r="M86" s="8">
        <v>135.12710000000001</v>
      </c>
      <c r="N86" s="8">
        <v>13.601068638648767</v>
      </c>
      <c r="O86" s="8">
        <v>1.9812970365008304E-2</v>
      </c>
      <c r="P86" s="8">
        <v>1.2192363447880671E-2</v>
      </c>
      <c r="Q86" s="8">
        <v>1.0294087018484854</v>
      </c>
      <c r="R86" s="3">
        <v>9.7109506524912428E-3</v>
      </c>
      <c r="S86" s="33">
        <v>0.12434534107537239</v>
      </c>
      <c r="T86" s="5">
        <v>53.5</v>
      </c>
      <c r="U86" s="34">
        <v>6.7443749999999997E-2</v>
      </c>
      <c r="V86">
        <v>4.0351301370680597</v>
      </c>
    </row>
    <row r="87" spans="1:22" ht="16" x14ac:dyDescent="0.2">
      <c r="A87" s="2" t="s">
        <v>19</v>
      </c>
      <c r="B87" s="5">
        <v>2019</v>
      </c>
      <c r="C87" s="8">
        <v>7.3629803089953061</v>
      </c>
      <c r="D87" s="4">
        <v>53.616753257232091</v>
      </c>
      <c r="E87" s="6">
        <v>-0.53517818373081838</v>
      </c>
      <c r="F87" s="8">
        <v>1.0185999999999999</v>
      </c>
      <c r="G87" s="4">
        <v>25351416</v>
      </c>
      <c r="H87" s="7">
        <v>10.332114600000001</v>
      </c>
      <c r="I87" s="4">
        <v>1385793.1353120001</v>
      </c>
      <c r="J87" s="8">
        <v>1.8617999999999999</v>
      </c>
      <c r="K87" s="8">
        <v>46.4694</v>
      </c>
      <c r="L87" s="7">
        <v>1</v>
      </c>
      <c r="M87" s="8">
        <v>133.8776</v>
      </c>
      <c r="N87" s="8">
        <v>13.634483780581567</v>
      </c>
      <c r="O87" s="8">
        <v>1.9232108547207694E-2</v>
      </c>
      <c r="P87" s="8">
        <v>6.4265447933353264E-3</v>
      </c>
      <c r="Q87" s="8">
        <v>1.1087474772021242</v>
      </c>
      <c r="R87" s="3">
        <v>9.6135432086826011E-3</v>
      </c>
      <c r="S87" s="33">
        <v>1.7806883043984915E-2</v>
      </c>
      <c r="T87" s="5">
        <v>51.6</v>
      </c>
      <c r="U87" s="34">
        <v>3.4638733333333338E-2</v>
      </c>
      <c r="V87">
        <v>4.1424697356973104</v>
      </c>
    </row>
    <row r="88" spans="1:22" ht="16" x14ac:dyDescent="0.2">
      <c r="A88" s="2" t="s">
        <v>19</v>
      </c>
      <c r="B88" s="5">
        <v>2020</v>
      </c>
      <c r="C88" s="8">
        <v>5.8123085026351351</v>
      </c>
      <c r="D88" s="4">
        <v>0.83456841070148124</v>
      </c>
      <c r="E88" s="6">
        <v>9.0860921866570687E-3</v>
      </c>
      <c r="F88" s="8">
        <v>1.0142</v>
      </c>
      <c r="G88" s="4">
        <v>33169661</v>
      </c>
      <c r="H88" s="7">
        <v>30.839480500000001</v>
      </c>
      <c r="I88" s="4">
        <v>1167471.0878250001</v>
      </c>
      <c r="J88" s="8">
        <v>1.5834999999999999</v>
      </c>
      <c r="K88" s="8">
        <v>45.689399999999999</v>
      </c>
      <c r="L88" s="7">
        <v>1</v>
      </c>
      <c r="M88" s="8">
        <v>113.5385</v>
      </c>
      <c r="N88" s="8">
        <v>13.661029256487701</v>
      </c>
      <c r="O88" s="8">
        <v>2.1983892892383367E-2</v>
      </c>
      <c r="P88" s="8">
        <v>8.095398549341699E-3</v>
      </c>
      <c r="Q88" s="8">
        <v>0.97781270859698655</v>
      </c>
      <c r="R88" s="3">
        <v>9.4135721608802868E-3</v>
      </c>
      <c r="S88" s="33">
        <v>-7.6232140578039884E-2</v>
      </c>
      <c r="T88" s="5">
        <v>52.4</v>
      </c>
      <c r="U88" s="34">
        <v>0.14886964166666666</v>
      </c>
      <c r="V88">
        <v>4.2034819485188404</v>
      </c>
    </row>
    <row r="89" spans="1:22" ht="16" x14ac:dyDescent="0.2">
      <c r="A89" s="2" t="s">
        <v>19</v>
      </c>
      <c r="B89" s="5">
        <v>2021</v>
      </c>
      <c r="C89" s="8">
        <v>6.8805480698643953</v>
      </c>
      <c r="D89" s="4">
        <v>-2.2647762494280237E-2</v>
      </c>
      <c r="E89" s="6">
        <v>8.9116818848047688E-3</v>
      </c>
      <c r="F89" s="8">
        <v>1.0144</v>
      </c>
      <c r="G89" s="4">
        <v>35751728</v>
      </c>
      <c r="H89" s="7">
        <v>7.7844237999999999</v>
      </c>
      <c r="I89" s="4">
        <v>1104353.5534562001</v>
      </c>
      <c r="J89" s="8">
        <v>1.4229000000000001</v>
      </c>
      <c r="K89" s="8">
        <v>45.212299999999999</v>
      </c>
      <c r="L89" s="7">
        <v>1</v>
      </c>
      <c r="M89" s="8">
        <v>105.1041</v>
      </c>
      <c r="N89" s="8">
        <v>13.696921139393563</v>
      </c>
      <c r="O89" s="8">
        <v>2.1489560847954097E-2</v>
      </c>
      <c r="P89" s="8">
        <v>9.4921411334982098E-3</v>
      </c>
      <c r="Q89" s="8">
        <v>0.48327232633659334</v>
      </c>
      <c r="R89" s="3">
        <v>9.4027008745165338E-3</v>
      </c>
      <c r="S89" s="33">
        <v>0.10565502625103547</v>
      </c>
      <c r="T89" s="5">
        <v>52.8</v>
      </c>
      <c r="U89" s="34">
        <v>0.22783804166666666</v>
      </c>
      <c r="V89">
        <v>4.1432975981772104</v>
      </c>
    </row>
    <row r="90" spans="1:22" ht="16" x14ac:dyDescent="0.2">
      <c r="A90" s="2" t="s">
        <v>19</v>
      </c>
      <c r="B90" s="5">
        <v>2022</v>
      </c>
      <c r="C90" s="8">
        <v>6.6469916350054916</v>
      </c>
      <c r="D90" s="4">
        <v>-7.1489786132112956</v>
      </c>
      <c r="E90" s="6">
        <v>8.1141227447594153E-2</v>
      </c>
      <c r="F90" s="8">
        <v>1.0199</v>
      </c>
      <c r="G90" s="4">
        <v>25069102</v>
      </c>
      <c r="H90" s="7">
        <v>-29.8800271</v>
      </c>
      <c r="I90" s="4">
        <v>920501.45474219986</v>
      </c>
      <c r="J90" s="8">
        <v>1.794</v>
      </c>
      <c r="K90" s="8">
        <v>46.388100000000001</v>
      </c>
      <c r="L90" s="7">
        <v>1</v>
      </c>
      <c r="M90" s="8">
        <v>125.9756</v>
      </c>
      <c r="N90" s="8">
        <v>13.758915171241865</v>
      </c>
      <c r="O90" s="8">
        <v>1.9995205140257589E-2</v>
      </c>
      <c r="P90" s="8">
        <v>1.0380548509254937E-2</v>
      </c>
      <c r="Q90" s="8">
        <v>0.64823426505953552</v>
      </c>
      <c r="R90" s="3">
        <v>9.5440952124542684E-3</v>
      </c>
      <c r="S90" s="33">
        <v>8.9347299498855171E-2</v>
      </c>
      <c r="T90" s="5">
        <v>53</v>
      </c>
      <c r="U90" s="34">
        <v>0.18707895833333332</v>
      </c>
      <c r="V90">
        <v>4.4010763454007202</v>
      </c>
    </row>
    <row r="91" spans="1:22" x14ac:dyDescent="0.2">
      <c r="A91" s="2"/>
      <c r="C91" s="8"/>
      <c r="D91" s="4"/>
      <c r="E91" s="6"/>
      <c r="F91" s="8"/>
      <c r="G91" s="4"/>
      <c r="I91" s="4"/>
      <c r="J91" s="8"/>
      <c r="K91" s="8"/>
      <c r="L91" s="7"/>
      <c r="M91" s="8"/>
      <c r="N91" s="8"/>
      <c r="O91" s="8"/>
      <c r="P91" s="8"/>
      <c r="Q91" s="8"/>
      <c r="R91" s="3"/>
    </row>
    <row r="92" spans="1:22" ht="16" x14ac:dyDescent="0.2">
      <c r="A92" s="2" t="s">
        <v>20</v>
      </c>
      <c r="B92" s="5">
        <v>2014</v>
      </c>
      <c r="C92" s="8">
        <v>12.41819855588103</v>
      </c>
      <c r="D92" s="4">
        <v>1.3421275056259012</v>
      </c>
      <c r="E92" s="6">
        <v>-4.8658356223128373E-3</v>
      </c>
      <c r="F92" s="8">
        <v>1.1233</v>
      </c>
      <c r="G92" s="4">
        <v>35291232</v>
      </c>
      <c r="H92" s="7">
        <v>18.112931199999998</v>
      </c>
      <c r="I92" s="4">
        <v>148867.86478040001</v>
      </c>
      <c r="J92" s="8">
        <v>2.0750999999999999</v>
      </c>
      <c r="K92" s="8">
        <v>30.035499999999999</v>
      </c>
      <c r="L92" s="7">
        <v>1</v>
      </c>
      <c r="M92" s="8">
        <v>118.2906</v>
      </c>
      <c r="N92" s="8">
        <v>12.753390071973339</v>
      </c>
      <c r="O92" s="8">
        <v>7.4362710610242798E-3</v>
      </c>
      <c r="P92" s="8">
        <v>7.4239119020119227E-3</v>
      </c>
      <c r="Q92" s="8">
        <v>1.1542946674575858</v>
      </c>
      <c r="R92" s="3">
        <v>8.8610641353495181E-3</v>
      </c>
      <c r="S92" s="33">
        <v>4.5749844464168611E-2</v>
      </c>
      <c r="T92" s="5">
        <v>47.6</v>
      </c>
      <c r="U92" s="34">
        <v>3.642151666666666E-2</v>
      </c>
      <c r="V92">
        <v>3.2728597464304698</v>
      </c>
    </row>
    <row r="93" spans="1:22" ht="16" x14ac:dyDescent="0.2">
      <c r="A93" s="2" t="s">
        <v>20</v>
      </c>
      <c r="B93" s="5">
        <v>2015</v>
      </c>
      <c r="C93" s="8">
        <v>12.798104054386682</v>
      </c>
      <c r="D93" s="4">
        <v>2.1843882157035162</v>
      </c>
      <c r="E93" s="6">
        <v>-1.0128920984079762E-2</v>
      </c>
      <c r="F93" s="8">
        <v>1.1107</v>
      </c>
      <c r="G93" s="4">
        <v>46201455</v>
      </c>
      <c r="H93" s="7">
        <v>30.914826099999999</v>
      </c>
      <c r="I93" s="4">
        <v>135172.54934959998</v>
      </c>
      <c r="J93" s="8">
        <v>1.9671000000000001</v>
      </c>
      <c r="K93" s="8">
        <v>30.544499999999999</v>
      </c>
      <c r="L93" s="7">
        <v>1</v>
      </c>
      <c r="M93" s="8">
        <v>72.918800000000005</v>
      </c>
      <c r="N93" s="8">
        <v>12.804244656663551</v>
      </c>
      <c r="O93" s="8">
        <v>5.9703842851772538E-3</v>
      </c>
      <c r="P93" s="8">
        <v>5.6336632972659251E-3</v>
      </c>
      <c r="Q93" s="8">
        <v>1.2093860148880957</v>
      </c>
      <c r="R93" s="3">
        <v>9.079876586565715E-3</v>
      </c>
      <c r="S93" s="33">
        <v>-0.10859218146637346</v>
      </c>
      <c r="T93" s="5">
        <v>49.2</v>
      </c>
      <c r="U93" s="34">
        <v>0.13826017499999999</v>
      </c>
      <c r="V93">
        <v>3.9055002630276801</v>
      </c>
    </row>
    <row r="94" spans="1:22" ht="16" x14ac:dyDescent="0.2">
      <c r="A94" s="2" t="s">
        <v>20</v>
      </c>
      <c r="B94" s="5">
        <v>2016</v>
      </c>
      <c r="C94" s="8">
        <v>12.606726418841415</v>
      </c>
      <c r="D94" s="4">
        <v>5.7971372776150156</v>
      </c>
      <c r="E94" s="6">
        <v>-4.9345714598910594E-2</v>
      </c>
      <c r="F94" s="8">
        <v>1.1103000000000001</v>
      </c>
      <c r="G94" s="4">
        <v>46722080</v>
      </c>
      <c r="H94" s="7">
        <v>1.1268585</v>
      </c>
      <c r="I94" s="4">
        <v>148942.7025094</v>
      </c>
      <c r="J94" s="8">
        <v>2.0169000000000001</v>
      </c>
      <c r="K94" s="8">
        <v>32.250799999999998</v>
      </c>
      <c r="L94" s="7">
        <v>1</v>
      </c>
      <c r="M94" s="8">
        <v>78.3767</v>
      </c>
      <c r="N94" s="8">
        <v>12.848065537830243</v>
      </c>
      <c r="O94" s="8">
        <v>5.2047974470142595E-3</v>
      </c>
      <c r="P94" s="8">
        <v>2.9091680507863245E-3</v>
      </c>
      <c r="Q94" s="8">
        <v>1.2433282549970843</v>
      </c>
      <c r="R94" s="3">
        <v>9.4833574294433259E-3</v>
      </c>
      <c r="S94" s="33">
        <v>-3.3001487623251439E-4</v>
      </c>
      <c r="T94" s="5">
        <v>51.5</v>
      </c>
      <c r="U94" s="34">
        <v>8.0427099999999987E-2</v>
      </c>
      <c r="V94">
        <v>4.14830066287879</v>
      </c>
    </row>
    <row r="95" spans="1:22" ht="16" x14ac:dyDescent="0.2">
      <c r="A95" s="2" t="s">
        <v>20</v>
      </c>
      <c r="B95" s="5">
        <v>2017</v>
      </c>
      <c r="C95" s="8">
        <v>12.734327337113207</v>
      </c>
      <c r="D95" s="4">
        <v>-8.3334358771716355E-2</v>
      </c>
      <c r="E95" s="6">
        <v>5.4151822169636434E-3</v>
      </c>
      <c r="F95" s="8">
        <v>1.1085</v>
      </c>
      <c r="G95" s="4">
        <v>35759279</v>
      </c>
      <c r="H95" s="7">
        <v>-23.4638548</v>
      </c>
      <c r="I95" s="4">
        <v>147556.6230051</v>
      </c>
      <c r="J95" s="8">
        <v>2.0636000000000001</v>
      </c>
      <c r="K95" s="8">
        <v>31.847200000000001</v>
      </c>
      <c r="L95" s="7">
        <v>1</v>
      </c>
      <c r="M95" s="8">
        <v>77.988200000000006</v>
      </c>
      <c r="N95" s="8">
        <v>12.88734015893904</v>
      </c>
      <c r="O95" s="8">
        <v>4.6284606094090424E-3</v>
      </c>
      <c r="P95" s="8">
        <v>3.9915102637978709E-3</v>
      </c>
      <c r="Q95" s="8">
        <v>1.1039657428260032</v>
      </c>
      <c r="R95" s="3">
        <v>9.5362327587799351E-3</v>
      </c>
      <c r="S95" s="33">
        <v>5.9264581238536021E-2</v>
      </c>
      <c r="T95" s="5">
        <v>51.9</v>
      </c>
      <c r="U95" s="34">
        <v>7.8288908333333337E-2</v>
      </c>
      <c r="V95">
        <v>4.3004408776112397</v>
      </c>
    </row>
    <row r="96" spans="1:22" ht="16" x14ac:dyDescent="0.2">
      <c r="A96" s="2" t="s">
        <v>20</v>
      </c>
      <c r="B96" s="5">
        <v>2018</v>
      </c>
      <c r="C96" s="8">
        <v>12.430716861960972</v>
      </c>
      <c r="D96" s="4">
        <v>-0.87853595208273128</v>
      </c>
      <c r="E96" s="6">
        <v>1.8565307096705487E-2</v>
      </c>
      <c r="F96" s="8">
        <v>1.1314</v>
      </c>
      <c r="G96" s="4">
        <v>37783248</v>
      </c>
      <c r="H96" s="7">
        <v>5.6599826999999996</v>
      </c>
      <c r="I96" s="4">
        <v>162085.54550839998</v>
      </c>
      <c r="J96" s="8">
        <v>2.0053000000000001</v>
      </c>
      <c r="K96" s="8">
        <v>32.999200000000002</v>
      </c>
      <c r="L96" s="7">
        <v>1</v>
      </c>
      <c r="M96" s="8">
        <v>77.121799999999993</v>
      </c>
      <c r="N96" s="8">
        <v>12.947279442522142</v>
      </c>
      <c r="O96" s="8">
        <v>6.4368195280868736E-3</v>
      </c>
      <c r="P96" s="8">
        <v>5.4295134238768802E-3</v>
      </c>
      <c r="Q96" s="8">
        <v>1.2258093565100483</v>
      </c>
      <c r="R96" s="3">
        <v>9.355512536808613E-3</v>
      </c>
      <c r="S96" s="33">
        <v>0.12434534107537239</v>
      </c>
      <c r="T96" s="5">
        <v>53.5</v>
      </c>
      <c r="U96" s="34">
        <v>6.7443749999999997E-2</v>
      </c>
      <c r="V96">
        <v>4.0351301370680597</v>
      </c>
    </row>
    <row r="97" spans="1:22" ht="16" x14ac:dyDescent="0.2">
      <c r="A97" s="2" t="s">
        <v>20</v>
      </c>
      <c r="B97" s="5">
        <v>2019</v>
      </c>
      <c r="C97" s="8">
        <v>11.789699651804032</v>
      </c>
      <c r="D97" s="4">
        <v>363.64377421504167</v>
      </c>
      <c r="E97" s="6">
        <v>-3.6647357339500761</v>
      </c>
      <c r="F97" s="8">
        <v>1.0736000000000001</v>
      </c>
      <c r="G97" s="4">
        <v>32686973</v>
      </c>
      <c r="H97" s="7">
        <v>-13.488186599999999</v>
      </c>
      <c r="I97" s="4">
        <v>160493.61429</v>
      </c>
      <c r="J97" s="8">
        <v>1.8796999999999999</v>
      </c>
      <c r="K97" s="8">
        <v>34.380600000000001</v>
      </c>
      <c r="L97" s="7">
        <v>1</v>
      </c>
      <c r="M97" s="8">
        <v>63.402000000000001</v>
      </c>
      <c r="N97" s="8">
        <v>12.978101879696005</v>
      </c>
      <c r="O97" s="8">
        <v>6.0276466762525134E-3</v>
      </c>
      <c r="P97" s="8">
        <v>4.4748841591635349E-3</v>
      </c>
      <c r="Q97" s="8">
        <v>1.2420942596926445</v>
      </c>
      <c r="R97" s="3">
        <v>9.3526918728208744E-3</v>
      </c>
      <c r="S97" s="33">
        <v>1.7806883043984915E-2</v>
      </c>
      <c r="T97" s="5">
        <v>51.6</v>
      </c>
      <c r="U97" s="34">
        <v>3.4638733333333338E-2</v>
      </c>
      <c r="V97">
        <v>4.1424697356973104</v>
      </c>
    </row>
    <row r="98" spans="1:22" ht="16" x14ac:dyDescent="0.2">
      <c r="A98" s="2" t="s">
        <v>20</v>
      </c>
      <c r="B98" s="5">
        <v>2020</v>
      </c>
      <c r="C98" s="8">
        <v>10.211142814904976</v>
      </c>
      <c r="D98" s="4">
        <v>3.2435219194519247</v>
      </c>
      <c r="E98" s="6">
        <v>-8.0715057112579827E-3</v>
      </c>
      <c r="F98" s="8">
        <v>1.0725</v>
      </c>
      <c r="G98" s="4">
        <v>39193638</v>
      </c>
      <c r="H98" s="7">
        <v>19.905988199999999</v>
      </c>
      <c r="I98" s="4">
        <v>125133.5292191</v>
      </c>
      <c r="J98" s="8">
        <v>1.7392000000000001</v>
      </c>
      <c r="K98" s="8">
        <v>34.68</v>
      </c>
      <c r="L98" s="7">
        <v>1</v>
      </c>
      <c r="M98" s="8">
        <v>60.918599999999998</v>
      </c>
      <c r="N98" s="8">
        <v>13.019792006241971</v>
      </c>
      <c r="O98" s="8">
        <v>8.2408097454837043E-3</v>
      </c>
      <c r="P98" s="8">
        <v>6.7873863343458005E-3</v>
      </c>
      <c r="Q98" s="8">
        <v>1.1148363245233013</v>
      </c>
      <c r="R98" s="3">
        <v>9.4473538167329108E-3</v>
      </c>
      <c r="S98" s="33">
        <v>-7.6232140578039884E-2</v>
      </c>
      <c r="T98" s="5">
        <v>52.4</v>
      </c>
      <c r="U98" s="34">
        <v>0.14886964166666666</v>
      </c>
      <c r="V98">
        <v>4.2034819485188404</v>
      </c>
    </row>
    <row r="99" spans="1:22" ht="16" x14ac:dyDescent="0.2">
      <c r="A99" s="2" t="s">
        <v>20</v>
      </c>
      <c r="B99" s="5">
        <v>2021</v>
      </c>
      <c r="C99" s="8">
        <v>11.352603778763791</v>
      </c>
      <c r="D99" s="4">
        <v>0.82321814731183973</v>
      </c>
      <c r="E99" s="6">
        <v>2.5569022543084417E-3</v>
      </c>
      <c r="F99" s="8">
        <v>1.0704</v>
      </c>
      <c r="G99" s="4">
        <v>37367943</v>
      </c>
      <c r="H99" s="7">
        <v>-4.6581412000000002</v>
      </c>
      <c r="I99" s="4">
        <v>110178.26423550001</v>
      </c>
      <c r="J99" s="8">
        <v>1.9303999999999999</v>
      </c>
      <c r="K99" s="8">
        <v>31.657299999999999</v>
      </c>
      <c r="L99" s="7">
        <v>1</v>
      </c>
      <c r="M99" s="8">
        <v>53.628300000000003</v>
      </c>
      <c r="N99" s="8">
        <v>13.044919442493766</v>
      </c>
      <c r="O99" s="8">
        <v>1.110053642025052E-2</v>
      </c>
      <c r="P99" s="8">
        <v>5.9022605569982048E-3</v>
      </c>
      <c r="Q99" s="8">
        <v>0.69987704882453028</v>
      </c>
      <c r="R99" s="3">
        <v>9.4119967994815805E-3</v>
      </c>
      <c r="S99" s="33">
        <v>0.10565502625103547</v>
      </c>
      <c r="T99" s="5">
        <v>52.8</v>
      </c>
      <c r="U99" s="34">
        <v>0.22783804166666666</v>
      </c>
      <c r="V99">
        <v>4.1432975981772104</v>
      </c>
    </row>
    <row r="100" spans="1:22" ht="16" x14ac:dyDescent="0.2">
      <c r="A100" s="2" t="s">
        <v>20</v>
      </c>
      <c r="B100" s="5">
        <v>2022</v>
      </c>
      <c r="C100" s="8">
        <v>11.690736698571513</v>
      </c>
      <c r="D100" s="4">
        <v>-3.054639948582186</v>
      </c>
      <c r="E100" s="6">
        <v>4.3252258613254185E-2</v>
      </c>
      <c r="F100" s="8">
        <v>1.0683</v>
      </c>
      <c r="G100" s="4">
        <v>36753191</v>
      </c>
      <c r="H100" s="7">
        <v>-1.6451319999999998</v>
      </c>
      <c r="I100" s="4">
        <v>158386.67384150001</v>
      </c>
      <c r="J100" s="8">
        <v>2.0455999999999999</v>
      </c>
      <c r="K100" s="8">
        <v>31.615600000000001</v>
      </c>
      <c r="L100" s="7">
        <v>1</v>
      </c>
      <c r="M100" s="8">
        <v>74.890100000000004</v>
      </c>
      <c r="N100" s="8">
        <v>13.108797302921513</v>
      </c>
      <c r="O100" s="8">
        <v>1.143251042804877E-2</v>
      </c>
      <c r="P100" s="8">
        <v>6.9383132492324929E-3</v>
      </c>
      <c r="Q100" s="8">
        <v>0.65332102311135765</v>
      </c>
      <c r="R100" s="3">
        <v>9.5483671925839977E-3</v>
      </c>
      <c r="S100" s="33">
        <v>8.9347299498855171E-2</v>
      </c>
      <c r="T100" s="5">
        <v>53</v>
      </c>
      <c r="U100" s="34">
        <v>0.18707895833333332</v>
      </c>
      <c r="V100">
        <v>4.4010763454007202</v>
      </c>
    </row>
    <row r="101" spans="1:22" x14ac:dyDescent="0.2">
      <c r="C101" s="8"/>
      <c r="E101" s="9"/>
      <c r="F101" s="8"/>
      <c r="G101" s="4"/>
      <c r="I101" s="4"/>
      <c r="J101" s="8"/>
      <c r="K101" s="8"/>
      <c r="L101" s="7"/>
      <c r="M101" s="8"/>
      <c r="N101" s="8"/>
      <c r="O101" s="8"/>
      <c r="P101" s="11"/>
      <c r="Q101" s="8"/>
      <c r="R101" s="3"/>
    </row>
    <row r="102" spans="1:22" ht="16" x14ac:dyDescent="0.2">
      <c r="A102" s="2" t="s">
        <v>21</v>
      </c>
      <c r="B102" s="5">
        <v>2014</v>
      </c>
      <c r="C102" s="8">
        <v>2.4656192324411594</v>
      </c>
      <c r="D102" s="4">
        <v>1.6563044127176643</v>
      </c>
      <c r="E102" s="6">
        <v>-4.3032697828539242E-3</v>
      </c>
      <c r="F102" s="8">
        <v>1.0228999999999999</v>
      </c>
      <c r="G102" s="4">
        <v>607791014</v>
      </c>
      <c r="H102" s="7">
        <v>35.8283384</v>
      </c>
      <c r="I102" s="4">
        <v>818248.71254920005</v>
      </c>
      <c r="J102" s="8">
        <v>2.6507000000000001</v>
      </c>
      <c r="K102" s="8">
        <v>59.881500000000003</v>
      </c>
      <c r="L102" s="7">
        <v>1</v>
      </c>
      <c r="M102" s="8">
        <v>177.6327</v>
      </c>
      <c r="N102" s="8">
        <v>12.933998853005107</v>
      </c>
      <c r="O102" s="8">
        <v>2.5550663598038054E-2</v>
      </c>
      <c r="P102" s="8">
        <v>2.0235276960396491E-2</v>
      </c>
      <c r="Q102" s="8">
        <v>1.7826463315089802</v>
      </c>
      <c r="R102" s="3">
        <v>9.3870827681256687E-3</v>
      </c>
      <c r="S102" s="33">
        <v>4.5749844464168611E-2</v>
      </c>
      <c r="T102" s="5">
        <v>47.6</v>
      </c>
      <c r="U102" s="34">
        <v>3.642151666666666E-2</v>
      </c>
      <c r="V102">
        <v>3.2728597464304698</v>
      </c>
    </row>
    <row r="103" spans="1:22" ht="16" x14ac:dyDescent="0.2">
      <c r="A103" s="2" t="s">
        <v>21</v>
      </c>
      <c r="B103" s="5">
        <v>2015</v>
      </c>
      <c r="C103" s="8">
        <v>2.0699231311861057</v>
      </c>
      <c r="D103" s="4">
        <v>4.9111945741270571</v>
      </c>
      <c r="E103" s="6">
        <v>-2.7667237823457289E-2</v>
      </c>
      <c r="F103" s="8">
        <v>0.99490000000000001</v>
      </c>
      <c r="G103" s="4">
        <v>790006240</v>
      </c>
      <c r="H103" s="7">
        <v>29.979914400000002</v>
      </c>
      <c r="I103" s="4">
        <v>908153.02885250002</v>
      </c>
      <c r="J103" s="8">
        <v>2.5562999999999998</v>
      </c>
      <c r="K103" s="8">
        <v>60.211599999999997</v>
      </c>
      <c r="L103" s="7">
        <v>1</v>
      </c>
      <c r="M103" s="8">
        <v>156.8186</v>
      </c>
      <c r="N103" s="8">
        <v>13.042404476052278</v>
      </c>
      <c r="O103" s="8">
        <v>2.5810448715187884E-2</v>
      </c>
      <c r="P103" s="8">
        <v>1.2485112236679427E-2</v>
      </c>
      <c r="Q103" s="8">
        <v>2.288676427680894</v>
      </c>
      <c r="R103" s="3">
        <v>9.3876779712601093E-3</v>
      </c>
      <c r="S103" s="33">
        <v>-0.10859218146637346</v>
      </c>
      <c r="T103" s="5">
        <v>49.2</v>
      </c>
      <c r="U103" s="34">
        <v>0.13826017499999999</v>
      </c>
      <c r="V103">
        <v>3.9055002630276801</v>
      </c>
    </row>
    <row r="104" spans="1:22" ht="16" x14ac:dyDescent="0.2">
      <c r="A104" s="2" t="s">
        <v>21</v>
      </c>
      <c r="B104" s="5">
        <v>2016</v>
      </c>
      <c r="C104" s="8">
        <v>2.3686338380951049</v>
      </c>
      <c r="D104" s="4">
        <v>20.673810793683444</v>
      </c>
      <c r="E104" s="6">
        <v>-0.1914538888405741</v>
      </c>
      <c r="F104" s="8">
        <v>0.98909999999999998</v>
      </c>
      <c r="G104" s="4">
        <v>716375081</v>
      </c>
      <c r="H104" s="7">
        <v>-9.3203262999999996</v>
      </c>
      <c r="I104" s="4">
        <v>1064558.1328604999</v>
      </c>
      <c r="J104" s="8">
        <v>2.4582999999999999</v>
      </c>
      <c r="K104" s="8">
        <v>54.814</v>
      </c>
      <c r="L104" s="7">
        <v>1</v>
      </c>
      <c r="M104" s="8">
        <v>145.0384</v>
      </c>
      <c r="N104" s="8">
        <v>13.093484131432112</v>
      </c>
      <c r="O104" s="8">
        <v>2.6234268140463323E-2</v>
      </c>
      <c r="P104" s="8">
        <v>1.0200753687433792E-2</v>
      </c>
      <c r="Q104" s="8">
        <v>1.8874224696631363</v>
      </c>
      <c r="R104" s="3">
        <v>9.6319344155747916E-3</v>
      </c>
      <c r="S104" s="33">
        <v>-3.3001487623251439E-4</v>
      </c>
      <c r="T104" s="5">
        <v>51.5</v>
      </c>
      <c r="U104" s="34">
        <v>8.0427099999999987E-2</v>
      </c>
      <c r="V104">
        <v>4.14830066287879</v>
      </c>
    </row>
    <row r="105" spans="1:22" ht="16" x14ac:dyDescent="0.2">
      <c r="A105" s="2" t="s">
        <v>21</v>
      </c>
      <c r="B105" s="5">
        <v>2017</v>
      </c>
      <c r="C105" s="8">
        <v>2.789473135986277</v>
      </c>
      <c r="D105" s="4">
        <v>3.5536783352234034</v>
      </c>
      <c r="E105" s="6">
        <v>-2.3525813771348859E-2</v>
      </c>
      <c r="F105" s="8">
        <v>1.0239</v>
      </c>
      <c r="G105" s="4">
        <v>768352221</v>
      </c>
      <c r="H105" s="7">
        <v>7.2555761999999993</v>
      </c>
      <c r="I105" s="4">
        <v>1099357.2342060001</v>
      </c>
      <c r="J105" s="8">
        <v>2.5057999999999998</v>
      </c>
      <c r="K105" s="8">
        <v>50.792999999999999</v>
      </c>
      <c r="L105" s="7">
        <v>1</v>
      </c>
      <c r="M105" s="8">
        <v>137.64279999999999</v>
      </c>
      <c r="N105" s="8">
        <v>13.135278678682294</v>
      </c>
      <c r="O105" s="8">
        <v>2.3889822145626051E-2</v>
      </c>
      <c r="P105" s="8">
        <v>1.8599958009794623E-2</v>
      </c>
      <c r="Q105" s="8">
        <v>1.4842184402015939</v>
      </c>
      <c r="R105" s="3">
        <v>9.305239161264996E-3</v>
      </c>
      <c r="S105" s="33">
        <v>5.9264581238536021E-2</v>
      </c>
      <c r="T105" s="5">
        <v>51.9</v>
      </c>
      <c r="U105" s="34">
        <v>7.8288908333333337E-2</v>
      </c>
      <c r="V105">
        <v>4.3004408776112397</v>
      </c>
    </row>
    <row r="106" spans="1:22" ht="16" x14ac:dyDescent="0.2">
      <c r="A106" s="2" t="s">
        <v>21</v>
      </c>
      <c r="B106" s="5">
        <v>2018</v>
      </c>
      <c r="C106" s="8">
        <v>3.2669501538443035</v>
      </c>
      <c r="D106" s="4">
        <v>3.7355464036000434</v>
      </c>
      <c r="E106" s="6">
        <v>-2.1573201889201379E-2</v>
      </c>
      <c r="F106" s="8">
        <v>1.0061</v>
      </c>
      <c r="G106" s="4">
        <v>1015058192</v>
      </c>
      <c r="H106" s="7">
        <v>32.108447699999999</v>
      </c>
      <c r="I106" s="4">
        <v>1007665.7974280999</v>
      </c>
      <c r="J106" s="8">
        <v>2.1793999999999998</v>
      </c>
      <c r="K106" s="8">
        <v>48.490499999999997</v>
      </c>
      <c r="L106" s="7">
        <v>1</v>
      </c>
      <c r="M106" s="8">
        <v>146.46680000000001</v>
      </c>
      <c r="N106" s="8">
        <v>13.188317851232576</v>
      </c>
      <c r="O106" s="8">
        <v>2.6485182013397397E-2</v>
      </c>
      <c r="P106" s="8">
        <v>1.4680530463194173E-2</v>
      </c>
      <c r="Q106" s="8">
        <v>1.3401894364726121</v>
      </c>
      <c r="R106" s="3">
        <v>9.3551337693775962E-3</v>
      </c>
      <c r="S106" s="33">
        <v>0.12434534107537239</v>
      </c>
      <c r="T106" s="5">
        <v>53.5</v>
      </c>
      <c r="U106" s="34">
        <v>6.7443749999999997E-2</v>
      </c>
      <c r="V106">
        <v>4.0351301370680597</v>
      </c>
    </row>
    <row r="107" spans="1:22" ht="16" x14ac:dyDescent="0.2">
      <c r="A107" s="2" t="s">
        <v>21</v>
      </c>
      <c r="B107" s="5">
        <v>2019</v>
      </c>
      <c r="C107" s="8">
        <v>2.5759197103832827</v>
      </c>
      <c r="D107" s="4">
        <v>-25.79389291549996</v>
      </c>
      <c r="E107" s="6">
        <v>0.27036204156126781</v>
      </c>
      <c r="F107" s="8">
        <v>0.99099999999999999</v>
      </c>
      <c r="G107" s="4">
        <v>1026346675</v>
      </c>
      <c r="H107" s="7">
        <v>1.1121021</v>
      </c>
      <c r="I107" s="4">
        <v>1134395.8266795001</v>
      </c>
      <c r="J107" s="8">
        <v>2.1179000000000001</v>
      </c>
      <c r="K107" s="8">
        <v>55.509099999999997</v>
      </c>
      <c r="L107" s="7">
        <v>1</v>
      </c>
      <c r="M107" s="8">
        <v>148.62440000000001</v>
      </c>
      <c r="N107" s="8">
        <v>13.25906962110137</v>
      </c>
      <c r="O107" s="8">
        <v>2.4789804358583224E-2</v>
      </c>
      <c r="P107" s="8">
        <v>1.7202315595087482E-2</v>
      </c>
      <c r="Q107" s="8">
        <v>1.7092113475511383</v>
      </c>
      <c r="R107" s="3">
        <v>9.417624712328012E-3</v>
      </c>
      <c r="S107" s="33">
        <v>1.7806883043984915E-2</v>
      </c>
      <c r="T107" s="5">
        <v>51.6</v>
      </c>
      <c r="U107" s="34">
        <v>3.4638733333333338E-2</v>
      </c>
      <c r="V107">
        <v>4.1424697356973104</v>
      </c>
    </row>
    <row r="108" spans="1:22" ht="16" x14ac:dyDescent="0.2">
      <c r="A108" s="2" t="s">
        <v>21</v>
      </c>
      <c r="B108" s="5">
        <v>2020</v>
      </c>
      <c r="C108" s="8">
        <v>0.83131305736556482</v>
      </c>
      <c r="D108" s="4">
        <v>-0.7591163269087593</v>
      </c>
      <c r="E108" s="6">
        <v>3.4052417107507685E-2</v>
      </c>
      <c r="F108" s="8">
        <v>0.97919999999999996</v>
      </c>
      <c r="G108" s="4">
        <v>1000026427</v>
      </c>
      <c r="H108" s="7">
        <v>-2.5644598000000003</v>
      </c>
      <c r="I108" s="4">
        <v>1302712.9400672999</v>
      </c>
      <c r="J108" s="8">
        <v>2.0291000000000001</v>
      </c>
      <c r="K108" s="8">
        <v>59.218200000000003</v>
      </c>
      <c r="L108" s="7">
        <v>1</v>
      </c>
      <c r="M108" s="8">
        <v>171.87870000000001</v>
      </c>
      <c r="N108" s="8">
        <v>13.308602083807106</v>
      </c>
      <c r="O108" s="8">
        <v>3.2622393617850298E-2</v>
      </c>
      <c r="P108" s="8">
        <v>1.5521333295875583E-2</v>
      </c>
      <c r="Q108" s="8">
        <v>5.4478382893607025</v>
      </c>
      <c r="R108" s="3">
        <v>9.0770436130754393E-3</v>
      </c>
      <c r="S108" s="33">
        <v>-7.6232140578039884E-2</v>
      </c>
      <c r="T108" s="5">
        <v>52.4</v>
      </c>
      <c r="U108" s="34">
        <v>0.14886964166666666</v>
      </c>
      <c r="V108">
        <v>4.2034819485188404</v>
      </c>
    </row>
    <row r="109" spans="1:22" ht="16" x14ac:dyDescent="0.2">
      <c r="A109" s="2" t="s">
        <v>21</v>
      </c>
      <c r="B109" s="5">
        <v>2021</v>
      </c>
      <c r="C109" s="8">
        <v>2.226237370031352</v>
      </c>
      <c r="D109" s="4">
        <v>-7.0189779720998331</v>
      </c>
      <c r="E109" s="6">
        <v>8.5209316141861557E-2</v>
      </c>
      <c r="F109" s="8">
        <v>0.99909999999999999</v>
      </c>
      <c r="G109" s="4">
        <v>1088081252</v>
      </c>
      <c r="H109" s="7">
        <v>8.8052498000000003</v>
      </c>
      <c r="I109" s="4">
        <v>1329264.1457691998</v>
      </c>
      <c r="J109" s="8">
        <v>2.0586000000000002</v>
      </c>
      <c r="K109" s="8">
        <v>55.918300000000002</v>
      </c>
      <c r="L109" s="7">
        <v>1</v>
      </c>
      <c r="M109" s="8">
        <v>154.8467</v>
      </c>
      <c r="N109" s="8">
        <v>13.340545936119074</v>
      </c>
      <c r="O109" s="8">
        <v>3.5245513801534699E-2</v>
      </c>
      <c r="P109" s="8">
        <v>1.753303720687785E-2</v>
      </c>
      <c r="Q109" s="8">
        <v>0.91257703453314365</v>
      </c>
      <c r="R109" s="3">
        <v>8.9486696765062618E-3</v>
      </c>
      <c r="S109" s="33">
        <v>0.10565502625103547</v>
      </c>
      <c r="T109" s="5">
        <v>52.8</v>
      </c>
      <c r="U109" s="34">
        <v>0.22783804166666666</v>
      </c>
      <c r="V109">
        <v>4.1432975981772104</v>
      </c>
    </row>
    <row r="110" spans="1:22" ht="16" x14ac:dyDescent="0.2">
      <c r="A110" s="2" t="s">
        <v>21</v>
      </c>
      <c r="B110" s="5">
        <v>2022</v>
      </c>
      <c r="C110" s="8">
        <v>2.621138281434666</v>
      </c>
      <c r="D110" s="4">
        <v>21.691304430445793</v>
      </c>
      <c r="E110" s="6">
        <v>-0.204271492776504</v>
      </c>
      <c r="F110" s="8">
        <v>0.99739999999999995</v>
      </c>
      <c r="G110" s="4">
        <v>1227595163</v>
      </c>
      <c r="H110" s="7">
        <v>12.8220122</v>
      </c>
      <c r="I110" s="4">
        <v>1332109.00755</v>
      </c>
      <c r="J110" s="8">
        <v>2.0819999999999999</v>
      </c>
      <c r="K110" s="8">
        <v>46.146299999999997</v>
      </c>
      <c r="L110" s="7">
        <v>1</v>
      </c>
      <c r="M110" s="8">
        <v>157.50190000000001</v>
      </c>
      <c r="N110" s="8">
        <v>13.410127284007604</v>
      </c>
      <c r="O110" s="8">
        <v>3.0470086214299474E-2</v>
      </c>
      <c r="P110" s="8">
        <v>1.4654557347844656E-2</v>
      </c>
      <c r="Q110" s="8">
        <v>0.84219395779814366</v>
      </c>
      <c r="R110" s="3">
        <v>9.3996330154068625E-3</v>
      </c>
      <c r="S110" s="33">
        <v>8.9347299498855171E-2</v>
      </c>
      <c r="T110" s="5">
        <v>53</v>
      </c>
      <c r="U110" s="34">
        <v>0.18707895833333332</v>
      </c>
      <c r="V110">
        <v>4.4010763454007202</v>
      </c>
    </row>
    <row r="111" spans="1:22" x14ac:dyDescent="0.2">
      <c r="A111" s="2"/>
      <c r="C111" s="8"/>
      <c r="D111" s="4"/>
      <c r="E111" s="6"/>
      <c r="F111" s="8"/>
      <c r="G111" s="4"/>
      <c r="I111" s="4"/>
      <c r="J111" s="8"/>
      <c r="K111" s="8"/>
      <c r="L111" s="7"/>
      <c r="M111" s="8"/>
      <c r="N111" s="8"/>
      <c r="O111" s="8"/>
      <c r="P111" s="8"/>
      <c r="Q111" s="8"/>
      <c r="R111" s="3"/>
    </row>
    <row r="112" spans="1:22" ht="16" x14ac:dyDescent="0.2">
      <c r="A112" s="2" t="s">
        <v>22</v>
      </c>
      <c r="B112" s="5">
        <v>2014</v>
      </c>
      <c r="C112" s="8">
        <v>2.4656192324411594</v>
      </c>
      <c r="D112" s="4">
        <v>1.6563044127176643</v>
      </c>
      <c r="E112" s="6">
        <v>-4.3032697828539242E-3</v>
      </c>
      <c r="F112" s="8">
        <v>1.0228999999999999</v>
      </c>
      <c r="G112" s="4">
        <v>607791014</v>
      </c>
      <c r="H112" s="7">
        <v>18.165189099999999</v>
      </c>
      <c r="I112" s="4">
        <v>818248.71254920005</v>
      </c>
      <c r="J112" s="8">
        <v>2.6507000000000001</v>
      </c>
      <c r="K112" s="8">
        <v>59.881500000000003</v>
      </c>
      <c r="L112" s="7">
        <v>1</v>
      </c>
      <c r="M112" s="8">
        <v>177.6327</v>
      </c>
      <c r="N112" s="8">
        <v>12.933998853005107</v>
      </c>
      <c r="O112" s="8">
        <v>2.5550663598038054E-2</v>
      </c>
      <c r="P112" s="8">
        <v>2.0235276960396491E-2</v>
      </c>
      <c r="Q112" s="8">
        <v>1.7826463315089802</v>
      </c>
      <c r="R112" s="3">
        <v>9.3870827681256687E-3</v>
      </c>
      <c r="S112" s="33">
        <v>4.5749844464168611E-2</v>
      </c>
      <c r="T112" s="5">
        <v>47.6</v>
      </c>
      <c r="U112" s="34">
        <v>3.642151666666666E-2</v>
      </c>
      <c r="V112">
        <v>3.2728597464304698</v>
      </c>
    </row>
    <row r="113" spans="1:22" ht="16" x14ac:dyDescent="0.2">
      <c r="A113" s="2" t="s">
        <v>22</v>
      </c>
      <c r="B113" s="5">
        <v>2015</v>
      </c>
      <c r="C113" s="8">
        <v>2.0699231311861057</v>
      </c>
      <c r="D113" s="4">
        <v>4.9111945741270571</v>
      </c>
      <c r="E113" s="6">
        <v>-2.7667237823457289E-2</v>
      </c>
      <c r="F113" s="8">
        <v>0.99490000000000001</v>
      </c>
      <c r="G113" s="4">
        <v>790006240</v>
      </c>
      <c r="H113" s="7">
        <v>-23.819815899999998</v>
      </c>
      <c r="I113" s="4">
        <v>908153.02885250002</v>
      </c>
      <c r="J113" s="8">
        <v>2.5562999999999998</v>
      </c>
      <c r="K113" s="8">
        <v>60.211599999999997</v>
      </c>
      <c r="L113" s="7">
        <v>1</v>
      </c>
      <c r="M113" s="8">
        <v>156.8186</v>
      </c>
      <c r="N113" s="8">
        <v>13.042404476052278</v>
      </c>
      <c r="O113" s="8">
        <v>2.5810448715187884E-2</v>
      </c>
      <c r="P113" s="8">
        <v>1.2485112236679427E-2</v>
      </c>
      <c r="Q113" s="8">
        <v>2.288676427680894</v>
      </c>
      <c r="R113" s="3">
        <v>9.3876779712601093E-3</v>
      </c>
      <c r="S113" s="33">
        <v>-0.10859218146637346</v>
      </c>
      <c r="T113" s="5">
        <v>49.2</v>
      </c>
      <c r="U113" s="34">
        <v>0.13826017499999999</v>
      </c>
      <c r="V113">
        <v>3.9055002630276801</v>
      </c>
    </row>
    <row r="114" spans="1:22" ht="16" x14ac:dyDescent="0.2">
      <c r="A114" s="2" t="s">
        <v>22</v>
      </c>
      <c r="B114" s="5">
        <v>2016</v>
      </c>
      <c r="C114" s="8">
        <v>2.3686338380951049</v>
      </c>
      <c r="D114" s="4">
        <v>20.673810793683444</v>
      </c>
      <c r="E114" s="6">
        <v>-0.1914538888405741</v>
      </c>
      <c r="F114" s="8">
        <v>0.98909999999999998</v>
      </c>
      <c r="G114" s="4">
        <v>716375081</v>
      </c>
      <c r="H114" s="7">
        <v>1.0815075000000001</v>
      </c>
      <c r="I114" s="4">
        <v>1064558.1328604999</v>
      </c>
      <c r="J114" s="8">
        <v>2.4582999999999999</v>
      </c>
      <c r="K114" s="8">
        <v>54.814</v>
      </c>
      <c r="L114" s="7">
        <v>1</v>
      </c>
      <c r="M114" s="8">
        <v>145.0384</v>
      </c>
      <c r="N114" s="8">
        <v>13.093484131432112</v>
      </c>
      <c r="O114" s="8">
        <v>2.6234268140463323E-2</v>
      </c>
      <c r="P114" s="8">
        <v>1.0200753687433792E-2</v>
      </c>
      <c r="Q114" s="8">
        <v>1.8874224696631363</v>
      </c>
      <c r="R114" s="3">
        <v>9.6319344155747916E-3</v>
      </c>
      <c r="S114" s="33">
        <v>-3.3001487623251439E-4</v>
      </c>
      <c r="T114" s="5">
        <v>51.5</v>
      </c>
      <c r="U114" s="34">
        <v>8.0427099999999987E-2</v>
      </c>
      <c r="V114">
        <v>4.14830066287879</v>
      </c>
    </row>
    <row r="115" spans="1:22" ht="16" x14ac:dyDescent="0.2">
      <c r="A115" s="2" t="s">
        <v>22</v>
      </c>
      <c r="B115" s="5">
        <v>2017</v>
      </c>
      <c r="C115" s="8">
        <v>2.789473135986277</v>
      </c>
      <c r="D115" s="4">
        <v>3.5536783352234034</v>
      </c>
      <c r="E115" s="6">
        <v>-2.3525813771348859E-2</v>
      </c>
      <c r="F115" s="8">
        <v>1.0239</v>
      </c>
      <c r="G115" s="4">
        <v>768352221</v>
      </c>
      <c r="H115" s="7">
        <v>8.6191569000000001</v>
      </c>
      <c r="I115" s="4">
        <v>1099357.2342060001</v>
      </c>
      <c r="J115" s="8">
        <v>2.5057999999999998</v>
      </c>
      <c r="K115" s="8">
        <v>50.792999999999999</v>
      </c>
      <c r="L115" s="7">
        <v>1</v>
      </c>
      <c r="M115" s="8">
        <v>137.64279999999999</v>
      </c>
      <c r="N115" s="8">
        <v>13.135278678682294</v>
      </c>
      <c r="O115" s="8">
        <v>2.3889822145626051E-2</v>
      </c>
      <c r="P115" s="8">
        <v>1.8599958009794623E-2</v>
      </c>
      <c r="Q115" s="8">
        <v>1.4842184402015939</v>
      </c>
      <c r="R115" s="3">
        <v>9.305239161264996E-3</v>
      </c>
      <c r="S115" s="33">
        <v>5.9264581238536021E-2</v>
      </c>
      <c r="T115" s="5">
        <v>51.9</v>
      </c>
      <c r="U115" s="34">
        <v>7.8288908333333337E-2</v>
      </c>
      <c r="V115">
        <v>4.3004408776112397</v>
      </c>
    </row>
    <row r="116" spans="1:22" ht="16" x14ac:dyDescent="0.2">
      <c r="A116" s="2" t="s">
        <v>22</v>
      </c>
      <c r="B116" s="5">
        <v>2018</v>
      </c>
      <c r="C116" s="8">
        <v>3.2669501538443035</v>
      </c>
      <c r="D116" s="4">
        <v>3.7355464036000434</v>
      </c>
      <c r="E116" s="6">
        <v>-2.1573201889201379E-2</v>
      </c>
      <c r="F116" s="8">
        <v>1.0061</v>
      </c>
      <c r="G116" s="4">
        <v>1015058192</v>
      </c>
      <c r="H116" s="7">
        <v>4.0018004999999999</v>
      </c>
      <c r="I116" s="4">
        <v>1007665.7974280999</v>
      </c>
      <c r="J116" s="8">
        <v>2.1793999999999998</v>
      </c>
      <c r="K116" s="8">
        <v>48.490499999999997</v>
      </c>
      <c r="L116" s="7">
        <v>1</v>
      </c>
      <c r="M116" s="8">
        <v>146.46680000000001</v>
      </c>
      <c r="N116" s="8">
        <v>13.188317851232576</v>
      </c>
      <c r="O116" s="8">
        <v>2.6485182013397397E-2</v>
      </c>
      <c r="P116" s="8">
        <v>1.4680530463194173E-2</v>
      </c>
      <c r="Q116" s="8">
        <v>1.3401894364726121</v>
      </c>
      <c r="R116" s="3">
        <v>9.3551337693775962E-3</v>
      </c>
      <c r="S116" s="33">
        <v>0.12434534107537239</v>
      </c>
      <c r="T116" s="5">
        <v>53.5</v>
      </c>
      <c r="U116" s="34">
        <v>6.7443749999999997E-2</v>
      </c>
      <c r="V116">
        <v>4.0351301370680597</v>
      </c>
    </row>
    <row r="117" spans="1:22" ht="16" x14ac:dyDescent="0.2">
      <c r="A117" s="2" t="s">
        <v>22</v>
      </c>
      <c r="B117" s="5">
        <v>2019</v>
      </c>
      <c r="C117" s="8">
        <v>2.5759197103832827</v>
      </c>
      <c r="D117" s="4">
        <v>-25.79389291549996</v>
      </c>
      <c r="E117" s="6">
        <v>0.27036204156126781</v>
      </c>
      <c r="F117" s="8">
        <v>0.99099999999999999</v>
      </c>
      <c r="G117" s="4">
        <v>1026346675</v>
      </c>
      <c r="H117" s="7">
        <v>-5.9431615999999998</v>
      </c>
      <c r="I117" s="4">
        <v>1134395.8266795001</v>
      </c>
      <c r="J117" s="8">
        <v>2.1179000000000001</v>
      </c>
      <c r="K117" s="8">
        <v>55.509099999999997</v>
      </c>
      <c r="L117" s="7">
        <v>1</v>
      </c>
      <c r="M117" s="8">
        <v>148.62440000000001</v>
      </c>
      <c r="N117" s="8">
        <v>13.25906962110137</v>
      </c>
      <c r="O117" s="8">
        <v>2.4789804358583224E-2</v>
      </c>
      <c r="P117" s="8">
        <v>1.7202315595087482E-2</v>
      </c>
      <c r="Q117" s="8">
        <v>1.7092113475511383</v>
      </c>
      <c r="R117" s="3">
        <v>9.417624712328012E-3</v>
      </c>
      <c r="S117" s="33">
        <v>1.7806883043984915E-2</v>
      </c>
      <c r="T117" s="5">
        <v>51.6</v>
      </c>
      <c r="U117" s="34">
        <v>3.4638733333333338E-2</v>
      </c>
      <c r="V117">
        <v>4.1424697356973104</v>
      </c>
    </row>
    <row r="118" spans="1:22" ht="16" x14ac:dyDescent="0.2">
      <c r="A118" s="2" t="s">
        <v>22</v>
      </c>
      <c r="B118" s="5">
        <v>2020</v>
      </c>
      <c r="C118" s="8">
        <v>0.83131305736556482</v>
      </c>
      <c r="D118" s="4">
        <v>-0.7591163269087593</v>
      </c>
      <c r="E118" s="6">
        <v>3.4052417107507685E-2</v>
      </c>
      <c r="F118" s="8">
        <v>0.97919999999999996</v>
      </c>
      <c r="G118" s="4">
        <v>1000026427</v>
      </c>
      <c r="H118" s="7">
        <v>-13.7435513</v>
      </c>
      <c r="I118" s="4">
        <v>1302712.9400672999</v>
      </c>
      <c r="J118" s="8">
        <v>2.0291000000000001</v>
      </c>
      <c r="K118" s="8">
        <v>59.218200000000003</v>
      </c>
      <c r="L118" s="7">
        <v>1</v>
      </c>
      <c r="M118" s="8">
        <v>171.87870000000001</v>
      </c>
      <c r="N118" s="8">
        <v>13.308602083807106</v>
      </c>
      <c r="O118" s="8">
        <v>3.2622393617850298E-2</v>
      </c>
      <c r="P118" s="8">
        <v>1.5521333295875583E-2</v>
      </c>
      <c r="Q118" s="8">
        <v>5.4478382893607025</v>
      </c>
      <c r="R118" s="3">
        <v>9.0770436130754393E-3</v>
      </c>
      <c r="S118" s="33">
        <v>-7.6232140578039884E-2</v>
      </c>
      <c r="T118" s="5">
        <v>52.4</v>
      </c>
      <c r="U118" s="34">
        <v>0.14886964166666666</v>
      </c>
      <c r="V118">
        <v>4.2034819485188404</v>
      </c>
    </row>
    <row r="119" spans="1:22" ht="16" x14ac:dyDescent="0.2">
      <c r="A119" s="2" t="s">
        <v>22</v>
      </c>
      <c r="B119" s="5">
        <v>2021</v>
      </c>
      <c r="C119" s="8">
        <v>2.226237370031352</v>
      </c>
      <c r="D119" s="4">
        <v>-7.0189779720998331</v>
      </c>
      <c r="E119" s="6">
        <v>8.5209316141861557E-2</v>
      </c>
      <c r="F119" s="8">
        <v>0.99909999999999999</v>
      </c>
      <c r="G119" s="4">
        <v>1088081252</v>
      </c>
      <c r="H119" s="7">
        <v>98.415579900000012</v>
      </c>
      <c r="I119" s="4">
        <v>1329264.1457691998</v>
      </c>
      <c r="J119" s="8">
        <v>2.0586000000000002</v>
      </c>
      <c r="K119" s="8">
        <v>55.918300000000002</v>
      </c>
      <c r="L119" s="7">
        <v>1</v>
      </c>
      <c r="M119" s="8">
        <v>154.8467</v>
      </c>
      <c r="N119" s="8">
        <v>13.340545936119074</v>
      </c>
      <c r="O119" s="8">
        <v>3.5245513801534699E-2</v>
      </c>
      <c r="P119" s="8">
        <v>1.753303720687785E-2</v>
      </c>
      <c r="Q119" s="8">
        <v>0.91257703453314365</v>
      </c>
      <c r="R119" s="3">
        <v>8.9486696765062618E-3</v>
      </c>
      <c r="S119" s="33">
        <v>0.10565502625103547</v>
      </c>
      <c r="T119" s="5">
        <v>52.8</v>
      </c>
      <c r="U119" s="34">
        <v>0.22783804166666666</v>
      </c>
      <c r="V119">
        <v>4.1432975981772104</v>
      </c>
    </row>
    <row r="120" spans="1:22" ht="16" x14ac:dyDescent="0.2">
      <c r="A120" s="2" t="s">
        <v>22</v>
      </c>
      <c r="B120" s="5">
        <v>2022</v>
      </c>
      <c r="C120" s="8">
        <v>2.621138281434666</v>
      </c>
      <c r="D120" s="4">
        <v>21.691304430445793</v>
      </c>
      <c r="E120" s="6">
        <v>-0.204271492776504</v>
      </c>
      <c r="F120" s="8">
        <v>0.99739999999999995</v>
      </c>
      <c r="G120" s="4">
        <v>1227595163</v>
      </c>
      <c r="H120" s="7">
        <v>-25.731942099999998</v>
      </c>
      <c r="I120" s="4">
        <v>1332109.00755</v>
      </c>
      <c r="J120" s="8">
        <v>2.0819999999999999</v>
      </c>
      <c r="K120" s="8">
        <v>46.146299999999997</v>
      </c>
      <c r="L120" s="7">
        <v>1</v>
      </c>
      <c r="M120" s="8">
        <v>157.50190000000001</v>
      </c>
      <c r="N120" s="8">
        <v>13.410127284007604</v>
      </c>
      <c r="O120" s="8">
        <v>3.0470086214299474E-2</v>
      </c>
      <c r="P120" s="8">
        <v>1.4654557347844656E-2</v>
      </c>
      <c r="Q120" s="8">
        <v>0.84219395779814366</v>
      </c>
      <c r="R120" s="3">
        <v>9.3996330154068625E-3</v>
      </c>
      <c r="S120" s="33">
        <v>8.9347299498855171E-2</v>
      </c>
      <c r="T120" s="5">
        <v>53</v>
      </c>
      <c r="U120" s="34">
        <v>0.18707895833333332</v>
      </c>
      <c r="V120">
        <v>4.4010763454007202</v>
      </c>
    </row>
    <row r="121" spans="1:22" x14ac:dyDescent="0.2">
      <c r="C121" s="8"/>
      <c r="E121" s="9"/>
      <c r="F121" s="8"/>
      <c r="G121" s="4"/>
      <c r="I121" s="4"/>
      <c r="J121" s="8"/>
      <c r="K121" s="8"/>
      <c r="L121" s="7"/>
      <c r="M121" s="8"/>
      <c r="N121" s="8"/>
      <c r="O121" s="8"/>
      <c r="P121" s="11"/>
      <c r="Q121" s="8"/>
      <c r="R121" s="3"/>
    </row>
    <row r="122" spans="1:22" ht="16" x14ac:dyDescent="0.2">
      <c r="A122" s="2" t="s">
        <v>23</v>
      </c>
      <c r="B122" s="5">
        <v>2014</v>
      </c>
      <c r="C122" s="8">
        <v>7.4853357512317098</v>
      </c>
      <c r="D122" s="4">
        <v>0.39560705764139437</v>
      </c>
      <c r="E122" s="6">
        <v>8.27231001252237E-3</v>
      </c>
      <c r="F122" s="8">
        <v>1.0037</v>
      </c>
      <c r="G122" s="4">
        <v>74874425</v>
      </c>
      <c r="H122" s="7">
        <v>64.923508200000001</v>
      </c>
      <c r="I122" s="4">
        <v>289240.75930959999</v>
      </c>
      <c r="J122" s="8">
        <v>1.8651</v>
      </c>
      <c r="K122" s="8">
        <v>52.892600000000002</v>
      </c>
      <c r="L122" s="7">
        <v>1</v>
      </c>
      <c r="M122" s="8">
        <v>205.21610000000001</v>
      </c>
      <c r="N122" s="8">
        <v>12.298444129777151</v>
      </c>
      <c r="O122" s="8">
        <v>1.2584988060948222E-2</v>
      </c>
      <c r="P122" s="8">
        <v>1.4985059727897753E-2</v>
      </c>
      <c r="Q122" s="8">
        <v>1.5320256160929959</v>
      </c>
      <c r="R122" s="3">
        <v>9.0678203178545472E-3</v>
      </c>
      <c r="S122" s="33">
        <v>4.5749844464168611E-2</v>
      </c>
      <c r="T122" s="5">
        <v>47.6</v>
      </c>
      <c r="U122" s="34">
        <v>3.642151666666666E-2</v>
      </c>
      <c r="V122">
        <v>3.2728597464304698</v>
      </c>
    </row>
    <row r="123" spans="1:22" ht="16" x14ac:dyDescent="0.2">
      <c r="A123" s="2" t="s">
        <v>23</v>
      </c>
      <c r="B123" s="5">
        <v>2015</v>
      </c>
      <c r="C123" s="8">
        <v>5.7020404003557781</v>
      </c>
      <c r="D123" s="4">
        <v>-10.860277706424728</v>
      </c>
      <c r="E123" s="6">
        <v>0.12870734966453823</v>
      </c>
      <c r="F123" s="8">
        <v>1.0085999999999999</v>
      </c>
      <c r="G123" s="4">
        <v>123129454</v>
      </c>
      <c r="H123" s="7">
        <v>64.447946000000002</v>
      </c>
      <c r="I123" s="4">
        <v>284125.14953549998</v>
      </c>
      <c r="J123" s="8">
        <v>1.7815000000000001</v>
      </c>
      <c r="K123" s="8">
        <v>58.0642</v>
      </c>
      <c r="L123" s="7">
        <v>1</v>
      </c>
      <c r="M123" s="8">
        <v>230.4127</v>
      </c>
      <c r="N123" s="8">
        <v>12.336830463475033</v>
      </c>
      <c r="O123" s="8">
        <v>1.1932453581822789E-2</v>
      </c>
      <c r="P123" s="8">
        <v>8.3928425521632485E-3</v>
      </c>
      <c r="Q123" s="8">
        <v>2.0518695972420633</v>
      </c>
      <c r="R123" s="3">
        <v>9.5718595508311518E-3</v>
      </c>
      <c r="S123" s="33">
        <v>-0.10859218146637346</v>
      </c>
      <c r="T123" s="5">
        <v>49.2</v>
      </c>
      <c r="U123" s="34">
        <v>0.13826017499999999</v>
      </c>
      <c r="V123">
        <v>3.9055002630276801</v>
      </c>
    </row>
    <row r="124" spans="1:22" ht="16" x14ac:dyDescent="0.2">
      <c r="A124" s="2" t="s">
        <v>23</v>
      </c>
      <c r="B124" s="5">
        <v>2016</v>
      </c>
      <c r="C124" s="8">
        <v>5.6588853629653473</v>
      </c>
      <c r="D124" s="4">
        <v>33.870228963633231</v>
      </c>
      <c r="E124" s="6">
        <v>-0.32558674990957648</v>
      </c>
      <c r="F124" s="8">
        <v>0.9879</v>
      </c>
      <c r="G124" s="4">
        <v>143190552</v>
      </c>
      <c r="H124" s="7">
        <v>16.292688200000001</v>
      </c>
      <c r="I124" s="4">
        <v>374993.93666760001</v>
      </c>
      <c r="J124" s="8">
        <v>1.7263999999999999</v>
      </c>
      <c r="K124" s="8">
        <v>54.454000000000001</v>
      </c>
      <c r="L124" s="7">
        <v>1</v>
      </c>
      <c r="M124" s="8">
        <v>189.8355</v>
      </c>
      <c r="N124" s="8">
        <v>12.374459349169806</v>
      </c>
      <c r="O124" s="8">
        <v>1.3718523247155055E-2</v>
      </c>
      <c r="P124" s="8">
        <v>1.1707438390014585E-2</v>
      </c>
      <c r="Q124" s="8">
        <v>1.9715925796352851</v>
      </c>
      <c r="R124" s="3">
        <v>9.3160832404167761E-3</v>
      </c>
      <c r="S124" s="33">
        <v>-3.3001487623251439E-4</v>
      </c>
      <c r="T124" s="5">
        <v>51.5</v>
      </c>
      <c r="U124" s="34">
        <v>8.0427099999999987E-2</v>
      </c>
      <c r="V124">
        <v>4.14830066287879</v>
      </c>
    </row>
    <row r="125" spans="1:22" ht="16" x14ac:dyDescent="0.2">
      <c r="A125" s="2" t="s">
        <v>23</v>
      </c>
      <c r="B125" s="5">
        <v>2017</v>
      </c>
      <c r="C125" s="8">
        <v>6.4926521594773678</v>
      </c>
      <c r="D125" s="4">
        <v>-0.13398990486593343</v>
      </c>
      <c r="E125" s="6">
        <v>1.3158574063748938E-2</v>
      </c>
      <c r="F125" s="8">
        <v>0.98650000000000004</v>
      </c>
      <c r="G125" s="4">
        <v>117957624</v>
      </c>
      <c r="H125" s="7">
        <v>-17.621922400000003</v>
      </c>
      <c r="I125" s="4">
        <v>356779.3433148</v>
      </c>
      <c r="J125" s="8">
        <v>1.7246999999999999</v>
      </c>
      <c r="K125" s="8">
        <v>53.358199999999997</v>
      </c>
      <c r="L125" s="7">
        <v>1</v>
      </c>
      <c r="M125" s="8">
        <v>147.7174</v>
      </c>
      <c r="N125" s="8">
        <v>12.346746893367254</v>
      </c>
      <c r="O125" s="8">
        <v>1.1381479505465485E-2</v>
      </c>
      <c r="P125" s="8">
        <v>8.1732246852072553E-3</v>
      </c>
      <c r="Q125" s="8">
        <v>1.6426066422344667</v>
      </c>
      <c r="R125" s="3">
        <v>9.6368638021626114E-3</v>
      </c>
      <c r="S125" s="33">
        <v>5.9264581238536021E-2</v>
      </c>
      <c r="T125" s="5">
        <v>51.9</v>
      </c>
      <c r="U125" s="34">
        <v>7.8288908333333337E-2</v>
      </c>
      <c r="V125">
        <v>4.3004408776112397</v>
      </c>
    </row>
    <row r="126" spans="1:22" ht="16" x14ac:dyDescent="0.2">
      <c r="A126" s="2" t="s">
        <v>23</v>
      </c>
      <c r="B126" s="5">
        <v>2018</v>
      </c>
      <c r="C126" s="8">
        <v>7.4220749229479175</v>
      </c>
      <c r="D126" s="4">
        <v>3.6436054774687442E-2</v>
      </c>
      <c r="E126" s="6">
        <v>1.3097293016727447E-2</v>
      </c>
      <c r="F126" s="8">
        <v>0.99119999999999997</v>
      </c>
      <c r="G126" s="4">
        <v>117033598</v>
      </c>
      <c r="H126" s="7">
        <v>-0.78335420000000011</v>
      </c>
      <c r="I126" s="4">
        <v>348359.15173540002</v>
      </c>
      <c r="J126" s="8">
        <v>1.7252000000000001</v>
      </c>
      <c r="K126" s="8">
        <v>49.336599999999997</v>
      </c>
      <c r="L126" s="7">
        <v>1</v>
      </c>
      <c r="M126" s="8">
        <v>151.52860000000001</v>
      </c>
      <c r="N126" s="8">
        <v>12.401498296582533</v>
      </c>
      <c r="O126" s="8">
        <v>1.9253710801618511E-2</v>
      </c>
      <c r="P126" s="8">
        <v>8.8123028528855792E-3</v>
      </c>
      <c r="Q126" s="8">
        <v>1.3978837790594032</v>
      </c>
      <c r="R126" s="3">
        <v>9.4422891542703564E-3</v>
      </c>
      <c r="S126" s="33">
        <v>0.12434534107537239</v>
      </c>
      <c r="T126" s="5">
        <v>53.5</v>
      </c>
      <c r="U126" s="34">
        <v>6.7443749999999997E-2</v>
      </c>
      <c r="V126">
        <v>4.0351301370680597</v>
      </c>
    </row>
    <row r="127" spans="1:22" ht="16" x14ac:dyDescent="0.2">
      <c r="A127" s="2" t="s">
        <v>23</v>
      </c>
      <c r="B127" s="5">
        <v>2019</v>
      </c>
      <c r="C127" s="8">
        <v>7.5717916081309324</v>
      </c>
      <c r="D127" s="4">
        <v>-30.974219562688916</v>
      </c>
      <c r="E127" s="6">
        <v>0.3231217560582833</v>
      </c>
      <c r="F127" s="8">
        <v>0.9899</v>
      </c>
      <c r="G127" s="4">
        <v>95047321</v>
      </c>
      <c r="H127" s="7">
        <v>-18.786294999999999</v>
      </c>
      <c r="I127" s="4">
        <v>347930.18434720003</v>
      </c>
      <c r="J127" s="8">
        <v>1.6173999999999999</v>
      </c>
      <c r="K127" s="8">
        <v>47.996099999999998</v>
      </c>
      <c r="L127" s="7">
        <v>1</v>
      </c>
      <c r="M127" s="8">
        <v>136.62219999999999</v>
      </c>
      <c r="N127" s="8">
        <v>12.459134142353253</v>
      </c>
      <c r="O127" s="8">
        <v>1.6911456671140364E-2</v>
      </c>
      <c r="P127" s="8">
        <v>5.2225362606731609E-3</v>
      </c>
      <c r="Q127" s="8">
        <v>1.3216866035897068</v>
      </c>
      <c r="R127" s="3">
        <v>9.2475370612357111E-3</v>
      </c>
      <c r="S127" s="33">
        <v>1.7806883043984915E-2</v>
      </c>
      <c r="T127" s="5">
        <v>51.6</v>
      </c>
      <c r="U127" s="34">
        <v>3.4638733333333338E-2</v>
      </c>
      <c r="V127">
        <v>4.1424697356973104</v>
      </c>
    </row>
    <row r="128" spans="1:22" ht="16" x14ac:dyDescent="0.2">
      <c r="A128" s="2" t="s">
        <v>23</v>
      </c>
      <c r="B128" s="5">
        <v>2020</v>
      </c>
      <c r="C128" s="8">
        <v>6.0243106163566091</v>
      </c>
      <c r="D128" s="4">
        <v>-1.7336003531365343</v>
      </c>
      <c r="E128" s="6">
        <v>3.9710272283632046E-2</v>
      </c>
      <c r="F128" s="8">
        <v>0.98089999999999999</v>
      </c>
      <c r="G128" s="4">
        <v>104512343</v>
      </c>
      <c r="H128" s="7">
        <v>9.9582207</v>
      </c>
      <c r="I128" s="4">
        <v>318140.24572139996</v>
      </c>
      <c r="J128" s="8">
        <v>1.3844000000000001</v>
      </c>
      <c r="K128" s="8">
        <v>47.131300000000003</v>
      </c>
      <c r="L128" s="7">
        <v>1</v>
      </c>
      <c r="M128" s="8">
        <v>122.9149</v>
      </c>
      <c r="N128" s="8">
        <v>12.510427297373381</v>
      </c>
      <c r="O128" s="8">
        <v>2.0438880508536816E-2</v>
      </c>
      <c r="P128" s="8">
        <v>7.2482175505269629E-3</v>
      </c>
      <c r="Q128" s="8">
        <v>1.3779960921236287</v>
      </c>
      <c r="R128" s="3">
        <v>9.1527318700795526E-3</v>
      </c>
      <c r="S128" s="33">
        <v>-7.6232140578039884E-2</v>
      </c>
      <c r="T128" s="5">
        <v>52.4</v>
      </c>
      <c r="U128" s="34">
        <v>0.14886964166666666</v>
      </c>
      <c r="V128">
        <v>4.2034819485188404</v>
      </c>
    </row>
    <row r="129" spans="1:22" ht="16" x14ac:dyDescent="0.2">
      <c r="A129" s="2" t="s">
        <v>23</v>
      </c>
      <c r="B129" s="5">
        <v>2021</v>
      </c>
      <c r="C129" s="8">
        <v>7.1494709503285705</v>
      </c>
      <c r="D129" s="4">
        <v>-0.6782057845803372</v>
      </c>
      <c r="E129" s="6">
        <v>1.8489938376428441E-2</v>
      </c>
      <c r="F129" s="8">
        <v>0.98009999999999997</v>
      </c>
      <c r="G129" s="4">
        <v>111751218</v>
      </c>
      <c r="H129" s="7">
        <v>6.9263349999999999</v>
      </c>
      <c r="I129" s="4">
        <v>295042.74570199999</v>
      </c>
      <c r="J129" s="8">
        <v>1.4904999999999999</v>
      </c>
      <c r="K129" s="8">
        <v>45.224499999999999</v>
      </c>
      <c r="L129" s="7">
        <v>1</v>
      </c>
      <c r="M129" s="8">
        <v>127.93040000000001</v>
      </c>
      <c r="N129" s="8">
        <v>12.576053771269025</v>
      </c>
      <c r="O129" s="8">
        <v>1.8186370718079076E-2</v>
      </c>
      <c r="P129" s="8">
        <v>8.6298844067095835E-3</v>
      </c>
      <c r="Q129" s="8">
        <v>0.71168455258840724</v>
      </c>
      <c r="R129" s="3">
        <v>9.0753133544366673E-3</v>
      </c>
      <c r="S129" s="33">
        <v>0.10565502625103547</v>
      </c>
      <c r="T129" s="5">
        <v>52.8</v>
      </c>
      <c r="U129" s="34">
        <v>0.22783804166666666</v>
      </c>
      <c r="V129">
        <v>4.1432975981772104</v>
      </c>
    </row>
    <row r="130" spans="1:22" ht="16" x14ac:dyDescent="0.2">
      <c r="A130" s="2" t="s">
        <v>23</v>
      </c>
      <c r="B130" s="5">
        <v>2022</v>
      </c>
      <c r="C130" s="8">
        <v>6.8988184542093034</v>
      </c>
      <c r="D130" s="4">
        <v>-9.8961270048279744</v>
      </c>
      <c r="E130" s="6">
        <v>0.1121331507046176</v>
      </c>
      <c r="F130" s="8">
        <v>0.98670000000000002</v>
      </c>
      <c r="G130" s="4">
        <v>151997220</v>
      </c>
      <c r="H130" s="7">
        <v>36.013926900000001</v>
      </c>
      <c r="I130" s="4">
        <v>328858.14944840001</v>
      </c>
      <c r="J130" s="8">
        <v>1.5451999999999999</v>
      </c>
      <c r="K130" s="8">
        <v>44.733600000000003</v>
      </c>
      <c r="L130" s="7">
        <v>1</v>
      </c>
      <c r="M130" s="8">
        <v>159.20740000000001</v>
      </c>
      <c r="N130" s="8">
        <v>12.64681242859305</v>
      </c>
      <c r="O130" s="8">
        <v>1.7492699960760735E-2</v>
      </c>
      <c r="P130" s="8">
        <v>8.3968937911743716E-3</v>
      </c>
      <c r="Q130" s="8">
        <v>0.76905854325671685</v>
      </c>
      <c r="R130" s="3">
        <v>9.3365366012516555E-3</v>
      </c>
      <c r="S130" s="33">
        <v>8.9347299498855171E-2</v>
      </c>
      <c r="T130" s="5">
        <v>53</v>
      </c>
      <c r="U130" s="34">
        <v>0.18707895833333332</v>
      </c>
      <c r="V130">
        <v>4.4010763454007202</v>
      </c>
    </row>
    <row r="132" spans="1:22" ht="16" x14ac:dyDescent="0.2">
      <c r="A132" s="2" t="s">
        <v>24</v>
      </c>
      <c r="B132" s="5">
        <v>2014</v>
      </c>
      <c r="C132" s="8">
        <v>12.711914546935189</v>
      </c>
      <c r="D132" s="4">
        <v>1.3431641188732379</v>
      </c>
      <c r="E132" s="6">
        <v>1.400031602471432E-3</v>
      </c>
      <c r="F132" s="8">
        <v>1.0286</v>
      </c>
      <c r="G132" s="4">
        <v>200529.51</v>
      </c>
      <c r="H132" s="7">
        <v>19.987133767294541</v>
      </c>
      <c r="I132" s="4">
        <v>123253.7175886</v>
      </c>
      <c r="J132" s="8">
        <v>1.7283999999999999</v>
      </c>
      <c r="K132" s="8">
        <v>42.525599999999997</v>
      </c>
      <c r="L132" s="7">
        <v>1</v>
      </c>
      <c r="M132" s="8">
        <v>153.3777</v>
      </c>
      <c r="N132" s="8">
        <v>12.155710527989179</v>
      </c>
      <c r="O132" s="8">
        <v>1.5101970541904677E-2</v>
      </c>
      <c r="P132" s="8">
        <v>2.5692547952573436E-2</v>
      </c>
      <c r="Q132" s="8">
        <v>1.2792279793673409</v>
      </c>
      <c r="R132" s="3">
        <v>8.0573550714927514E-3</v>
      </c>
      <c r="S132" s="33">
        <v>4.5749844464168611E-2</v>
      </c>
      <c r="T132" s="5">
        <v>47.6</v>
      </c>
      <c r="U132" s="34">
        <v>3.642151666666666E-2</v>
      </c>
      <c r="V132">
        <v>3.2728597464304698</v>
      </c>
    </row>
    <row r="133" spans="1:22" ht="16" x14ac:dyDescent="0.2">
      <c r="A133" s="2" t="s">
        <v>24</v>
      </c>
      <c r="B133" s="5">
        <v>2015</v>
      </c>
      <c r="C133" s="8">
        <v>11.596404473211514</v>
      </c>
      <c r="D133" s="4">
        <v>-5.7618470291943762</v>
      </c>
      <c r="E133" s="6">
        <v>7.4903234852592815E-2</v>
      </c>
      <c r="F133" s="8">
        <v>1.0139</v>
      </c>
      <c r="G133" s="4">
        <v>157622.016</v>
      </c>
      <c r="H133" s="7">
        <v>-21.397097115531778</v>
      </c>
      <c r="I133" s="4">
        <v>94863.685778400002</v>
      </c>
      <c r="J133" s="8">
        <v>1.6113999999999999</v>
      </c>
      <c r="K133" s="8">
        <v>44.481999999999999</v>
      </c>
      <c r="L133" s="7">
        <v>1</v>
      </c>
      <c r="M133" s="8">
        <v>117.31319999999999</v>
      </c>
      <c r="N133" s="8">
        <v>12.218202006512442</v>
      </c>
      <c r="O133" s="8">
        <v>1.1301951815530878E-2</v>
      </c>
      <c r="P133" s="8">
        <v>9.7359633916376479E-3</v>
      </c>
      <c r="Q133" s="8">
        <v>1.3907400366388996</v>
      </c>
      <c r="R133" s="3">
        <v>8.1163748992233321E-3</v>
      </c>
      <c r="S133" s="33">
        <v>-0.10859218146637346</v>
      </c>
      <c r="T133" s="5">
        <v>49.2</v>
      </c>
      <c r="U133" s="34">
        <v>0.13826017499999999</v>
      </c>
      <c r="V133">
        <v>3.9055002630276801</v>
      </c>
    </row>
    <row r="134" spans="1:22" ht="16" x14ac:dyDescent="0.2">
      <c r="A134" s="2" t="s">
        <v>24</v>
      </c>
      <c r="B134" s="5">
        <v>2016</v>
      </c>
      <c r="C134" s="8">
        <v>9.6661246515114119</v>
      </c>
      <c r="D134" s="4">
        <v>11.632385597071126</v>
      </c>
      <c r="E134" s="6">
        <v>-0.10342150971702377</v>
      </c>
      <c r="F134" s="8">
        <v>1.0068999999999999</v>
      </c>
      <c r="G134" s="4">
        <v>159472.609</v>
      </c>
      <c r="H134" s="7">
        <v>1.1740701248231677</v>
      </c>
      <c r="I134" s="4">
        <v>95723.8180632</v>
      </c>
      <c r="J134" s="8">
        <v>1.5019</v>
      </c>
      <c r="K134" s="8">
        <v>51.236899999999999</v>
      </c>
      <c r="L134" s="7">
        <v>1</v>
      </c>
      <c r="M134" s="8">
        <v>78.840500000000006</v>
      </c>
      <c r="N134" s="8">
        <v>12.257119946163742</v>
      </c>
      <c r="O134" s="8">
        <v>9.4316876396841783E-3</v>
      </c>
      <c r="P134" s="8">
        <v>9.986024409730683E-3</v>
      </c>
      <c r="Q134" s="8">
        <v>1.7603625637445504</v>
      </c>
      <c r="R134" s="3">
        <v>8.1337365034888937E-3</v>
      </c>
      <c r="S134" s="33">
        <v>-3.3001487623251439E-4</v>
      </c>
      <c r="T134" s="5">
        <v>51.5</v>
      </c>
      <c r="U134" s="34">
        <v>8.0427099999999987E-2</v>
      </c>
      <c r="V134">
        <v>4.14830066287879</v>
      </c>
    </row>
    <row r="135" spans="1:22" ht="16" x14ac:dyDescent="0.2">
      <c r="A135" s="2" t="s">
        <v>24</v>
      </c>
      <c r="B135" s="5">
        <v>2017</v>
      </c>
      <c r="C135" s="8">
        <v>10.266292599186068</v>
      </c>
      <c r="D135" s="4">
        <v>1.5581147643879889</v>
      </c>
      <c r="E135" s="6">
        <v>-3.1495691274826408E-3</v>
      </c>
      <c r="F135" s="8">
        <v>1.0117</v>
      </c>
      <c r="G135" s="4">
        <v>171332.247</v>
      </c>
      <c r="H135" s="7">
        <v>7.4367868403030934</v>
      </c>
      <c r="I135" s="4">
        <v>121502.23742469998</v>
      </c>
      <c r="J135" s="8">
        <v>1.6335999999999999</v>
      </c>
      <c r="K135" s="8">
        <v>44.113100000000003</v>
      </c>
      <c r="L135" s="7">
        <v>1</v>
      </c>
      <c r="M135" s="8">
        <v>63.588099999999997</v>
      </c>
      <c r="N135" s="8">
        <v>12.296655318261575</v>
      </c>
      <c r="O135" s="8">
        <v>9.1764797259418739E-3</v>
      </c>
      <c r="P135" s="8">
        <v>1.4273580855921546E-2</v>
      </c>
      <c r="Q135" s="8">
        <v>1.3175998657837045</v>
      </c>
      <c r="R135" s="3">
        <v>8.1554844317803313E-3</v>
      </c>
      <c r="S135" s="33">
        <v>5.9264581238536021E-2</v>
      </c>
      <c r="T135" s="5">
        <v>51.9</v>
      </c>
      <c r="U135" s="34">
        <v>7.8288908333333337E-2</v>
      </c>
      <c r="V135">
        <v>4.3004408776112397</v>
      </c>
    </row>
    <row r="136" spans="1:22" ht="16" x14ac:dyDescent="0.2">
      <c r="A136" s="2" t="s">
        <v>24</v>
      </c>
      <c r="B136" s="5">
        <v>2018</v>
      </c>
      <c r="C136" s="8">
        <v>12.170039945633803</v>
      </c>
      <c r="D136" s="4">
        <v>1.6349309558269385</v>
      </c>
      <c r="E136" s="6">
        <v>-2.636352172614145E-3</v>
      </c>
      <c r="F136" s="8">
        <v>1.0121</v>
      </c>
      <c r="G136" s="4">
        <v>177098.05499999999</v>
      </c>
      <c r="H136" s="7">
        <v>3.3652789249883535</v>
      </c>
      <c r="I136" s="4">
        <v>113237.00668380001</v>
      </c>
      <c r="J136" s="8">
        <v>1.6146</v>
      </c>
      <c r="K136" s="8">
        <v>42.884500000000003</v>
      </c>
      <c r="L136" s="7">
        <v>1</v>
      </c>
      <c r="M136" s="8">
        <v>67.490600000000001</v>
      </c>
      <c r="N136" s="8">
        <v>12.342863007565329</v>
      </c>
      <c r="O136" s="8">
        <v>7.7598978448350942E-3</v>
      </c>
      <c r="P136" s="8">
        <v>1.6551267760345701E-2</v>
      </c>
      <c r="Q136" s="8">
        <v>1.2248300023096053</v>
      </c>
      <c r="R136" s="3">
        <v>8.2774368554274103E-3</v>
      </c>
      <c r="S136" s="33">
        <v>0.12434534107537239</v>
      </c>
      <c r="T136" s="5">
        <v>53.5</v>
      </c>
      <c r="U136" s="34">
        <v>6.7443749999999997E-2</v>
      </c>
      <c r="V136">
        <v>4.0351301370680597</v>
      </c>
    </row>
    <row r="137" spans="1:22" ht="16" x14ac:dyDescent="0.2">
      <c r="A137" s="2" t="s">
        <v>24</v>
      </c>
      <c r="B137" s="5">
        <v>2019</v>
      </c>
      <c r="C137" s="8">
        <v>11.849072963589219</v>
      </c>
      <c r="D137" s="4">
        <v>-0.79313809992527795</v>
      </c>
      <c r="E137" s="6">
        <v>1.8151842649246106E-2</v>
      </c>
      <c r="F137" s="8">
        <v>1.0083</v>
      </c>
      <c r="G137" s="4">
        <v>174185.69399999999</v>
      </c>
      <c r="H137" s="7">
        <v>-1.6444906749540558</v>
      </c>
      <c r="I137" s="4">
        <v>107808.3993052</v>
      </c>
      <c r="J137" s="8">
        <v>1.4685999999999999</v>
      </c>
      <c r="K137" s="8">
        <v>45.088500000000003</v>
      </c>
      <c r="L137" s="7">
        <v>1</v>
      </c>
      <c r="M137" s="8">
        <v>57.309199999999997</v>
      </c>
      <c r="N137" s="8">
        <v>12.379532599882708</v>
      </c>
      <c r="O137" s="8">
        <v>9.1203648848676676E-3</v>
      </c>
      <c r="P137" s="8">
        <v>6.9481483122950599E-3</v>
      </c>
      <c r="Q137" s="8">
        <v>1.4252711421581876</v>
      </c>
      <c r="R137" s="3">
        <v>8.5441296874457315E-3</v>
      </c>
      <c r="S137" s="33">
        <v>1.7806883043984915E-2</v>
      </c>
      <c r="T137" s="5">
        <v>51.6</v>
      </c>
      <c r="U137" s="34">
        <v>3.4638733333333338E-2</v>
      </c>
      <c r="V137">
        <v>4.1424697356973104</v>
      </c>
    </row>
    <row r="138" spans="1:22" ht="16" x14ac:dyDescent="0.2">
      <c r="A138" s="2" t="s">
        <v>24</v>
      </c>
      <c r="B138" s="5">
        <v>2020</v>
      </c>
      <c r="C138" s="8">
        <v>11.050369331131003</v>
      </c>
      <c r="D138" s="4">
        <v>-26.944258740400226</v>
      </c>
      <c r="E138" s="6">
        <v>0.29658576017377219</v>
      </c>
      <c r="F138" s="8">
        <v>0.97589999999999999</v>
      </c>
      <c r="G138" s="4">
        <v>154878.88399999999</v>
      </c>
      <c r="H138" s="7">
        <v>-11.084038853385973</v>
      </c>
      <c r="I138" s="4">
        <v>89623.365932399989</v>
      </c>
      <c r="J138" s="8">
        <v>1.3684000000000001</v>
      </c>
      <c r="K138" s="8">
        <v>44.878599999999999</v>
      </c>
      <c r="L138" s="7">
        <v>1</v>
      </c>
      <c r="M138" s="8">
        <v>51.6492</v>
      </c>
      <c r="N138" s="8">
        <v>12.443526064557776</v>
      </c>
      <c r="O138" s="8">
        <v>8.4561970184128792E-3</v>
      </c>
      <c r="P138" s="8">
        <v>1.2094881312148927E-2</v>
      </c>
      <c r="Q138" s="8">
        <v>1.3982847937010474</v>
      </c>
      <c r="R138" s="3">
        <v>8.5706757088377539E-3</v>
      </c>
      <c r="S138" s="33">
        <v>-7.6232140578039884E-2</v>
      </c>
      <c r="T138" s="5">
        <v>52.4</v>
      </c>
      <c r="U138" s="34">
        <v>0.14886964166666666</v>
      </c>
      <c r="V138">
        <v>4.2034819485188404</v>
      </c>
    </row>
    <row r="139" spans="1:22" ht="16" x14ac:dyDescent="0.2">
      <c r="A139" s="2" t="s">
        <v>24</v>
      </c>
      <c r="B139" s="5">
        <v>2021</v>
      </c>
      <c r="C139" s="8">
        <v>12.380479843856643</v>
      </c>
      <c r="D139" s="4">
        <v>1.0120273881931092</v>
      </c>
      <c r="E139" s="6">
        <v>3.3943811409650683E-3</v>
      </c>
      <c r="F139" s="8">
        <v>0.99029999999999996</v>
      </c>
      <c r="G139" s="4">
        <v>285689.56900000002</v>
      </c>
      <c r="H139" s="7">
        <v>84.459986811371934</v>
      </c>
      <c r="I139" s="4">
        <v>71763.31907160001</v>
      </c>
      <c r="J139" s="8">
        <v>1.5087999999999999</v>
      </c>
      <c r="K139" s="8">
        <v>38.606900000000003</v>
      </c>
      <c r="L139" s="7">
        <v>1</v>
      </c>
      <c r="M139" s="8">
        <v>56.080800000000004</v>
      </c>
      <c r="N139" s="8">
        <v>12.518252065167815</v>
      </c>
      <c r="O139" s="8">
        <v>1.1193225421990638E-2</v>
      </c>
      <c r="P139" s="8">
        <v>8.0748076106826223E-3</v>
      </c>
      <c r="Q139" s="8">
        <v>0.70859469693968902</v>
      </c>
      <c r="R139" s="3">
        <v>8.6115309378962442E-3</v>
      </c>
      <c r="S139" s="33">
        <v>0.10565502625103547</v>
      </c>
      <c r="T139" s="5">
        <v>52.8</v>
      </c>
      <c r="U139" s="34">
        <v>0.22783804166666666</v>
      </c>
      <c r="V139">
        <v>4.1432975981772104</v>
      </c>
    </row>
    <row r="140" spans="1:22" ht="16" x14ac:dyDescent="0.2">
      <c r="A140" s="2" t="s">
        <v>24</v>
      </c>
      <c r="B140" s="5">
        <v>2022</v>
      </c>
      <c r="C140" s="8">
        <v>12.592635948034617</v>
      </c>
      <c r="D140" s="4">
        <v>-2.5051666706165334</v>
      </c>
      <c r="E140" s="6">
        <v>3.7463862609966696E-2</v>
      </c>
      <c r="F140" s="8">
        <v>0.98850000000000005</v>
      </c>
      <c r="G140" s="4">
        <v>214693.15599999999</v>
      </c>
      <c r="H140" s="7">
        <v>-24.85089436359506</v>
      </c>
      <c r="I140" s="4">
        <v>82001.969498599996</v>
      </c>
      <c r="J140" s="8">
        <v>1.5322</v>
      </c>
      <c r="K140" s="8">
        <v>37.7057</v>
      </c>
      <c r="L140" s="7">
        <v>1</v>
      </c>
      <c r="M140" s="8">
        <v>41.000999999999998</v>
      </c>
      <c r="N140" s="8">
        <v>12.566961557719935</v>
      </c>
      <c r="O140" s="8">
        <v>1.0340451573581107E-2</v>
      </c>
      <c r="P140" s="8">
        <v>7.7892487541085685E-3</v>
      </c>
      <c r="Q140" s="8">
        <v>0.55938379404055516</v>
      </c>
      <c r="R140" s="3">
        <v>8.5581921106166609E-3</v>
      </c>
      <c r="S140" s="33">
        <v>8.9347299498855171E-2</v>
      </c>
      <c r="T140" s="5">
        <v>53</v>
      </c>
      <c r="U140" s="34">
        <v>0.18707895833333332</v>
      </c>
      <c r="V140">
        <v>4.4010763454007202</v>
      </c>
    </row>
    <row r="141" spans="1:22" x14ac:dyDescent="0.2">
      <c r="C141" s="8"/>
      <c r="E141" s="9"/>
      <c r="F141" s="8"/>
      <c r="G141" s="4"/>
      <c r="I141" s="4"/>
      <c r="J141" s="8"/>
      <c r="K141" s="8"/>
      <c r="L141" s="7"/>
      <c r="M141" s="8"/>
      <c r="N141" s="8"/>
      <c r="O141" s="8"/>
      <c r="P141" s="11"/>
      <c r="Q141" s="8"/>
      <c r="R141" s="3"/>
    </row>
    <row r="142" spans="1:22" ht="16" x14ac:dyDescent="0.2">
      <c r="A142" s="2" t="s">
        <v>25</v>
      </c>
      <c r="B142" s="5">
        <v>2014</v>
      </c>
      <c r="C142" s="8">
        <v>5.7828460427085728</v>
      </c>
      <c r="D142" s="4">
        <v>1.3508562570354694</v>
      </c>
      <c r="E142" s="6">
        <v>-1.0624192365565443E-3</v>
      </c>
      <c r="F142" s="8">
        <v>0.96909999999999996</v>
      </c>
      <c r="G142" s="4">
        <v>10164.558999999999</v>
      </c>
      <c r="H142" s="7">
        <v>62.665425032070374</v>
      </c>
      <c r="I142" s="4">
        <v>23652.9955854</v>
      </c>
      <c r="J142" s="8">
        <v>1.8283</v>
      </c>
      <c r="K142" s="8">
        <v>34.308999999999997</v>
      </c>
      <c r="L142" s="7">
        <v>1</v>
      </c>
      <c r="M142" s="8">
        <v>90.204400000000007</v>
      </c>
      <c r="N142" s="8">
        <v>10.779912041347396</v>
      </c>
      <c r="O142" s="8">
        <v>1.273540351888146E-2</v>
      </c>
      <c r="P142" s="8">
        <v>1.2677841115973336E-2</v>
      </c>
      <c r="Q142" s="8">
        <v>1.1016334059499306</v>
      </c>
      <c r="R142" s="3">
        <v>8.2100593473065728E-3</v>
      </c>
      <c r="S142" s="33">
        <v>4.5749844464168611E-2</v>
      </c>
      <c r="T142" s="5">
        <v>47.6</v>
      </c>
      <c r="U142" s="34">
        <v>3.642151666666666E-2</v>
      </c>
      <c r="V142">
        <v>3.2728597464304698</v>
      </c>
    </row>
    <row r="143" spans="1:22" ht="16" x14ac:dyDescent="0.2">
      <c r="A143" s="2" t="s">
        <v>25</v>
      </c>
      <c r="B143" s="5">
        <v>2015</v>
      </c>
      <c r="C143" s="8">
        <v>4.7964542667455188</v>
      </c>
      <c r="D143" s="4">
        <v>0.34437043457893513</v>
      </c>
      <c r="E143" s="6">
        <v>1.3964875017386288E-2</v>
      </c>
      <c r="F143" s="8">
        <v>0.98950000000000005</v>
      </c>
      <c r="G143" s="4">
        <v>8857.3760000000002</v>
      </c>
      <c r="H143" s="7">
        <v>-12.860203772736224</v>
      </c>
      <c r="I143" s="4">
        <v>22189.1079312</v>
      </c>
      <c r="J143" s="8">
        <v>1.7687999999999999</v>
      </c>
      <c r="K143" s="8">
        <v>35.700600000000001</v>
      </c>
      <c r="L143" s="7">
        <v>1</v>
      </c>
      <c r="M143" s="8">
        <v>49.526400000000002</v>
      </c>
      <c r="N143" s="8">
        <v>10.880588056144237</v>
      </c>
      <c r="O143" s="8">
        <v>1.0580041328527429E-2</v>
      </c>
      <c r="P143" s="8">
        <v>1.0710075978524209E-2</v>
      </c>
      <c r="Q143" s="8">
        <v>1.4071485525883325</v>
      </c>
      <c r="R143" s="3">
        <v>8.2634620387853196E-3</v>
      </c>
      <c r="S143" s="33">
        <v>-0.10859218146637346</v>
      </c>
      <c r="T143" s="5">
        <v>49.2</v>
      </c>
      <c r="U143" s="34">
        <v>0.13826017499999999</v>
      </c>
      <c r="V143">
        <v>3.9055002630276801</v>
      </c>
    </row>
    <row r="144" spans="1:22" ht="16" x14ac:dyDescent="0.2">
      <c r="A144" s="2" t="s">
        <v>25</v>
      </c>
      <c r="B144" s="5">
        <v>2016</v>
      </c>
      <c r="C144" s="8">
        <v>4.5834326002804691</v>
      </c>
      <c r="D144" s="4">
        <v>7.5244621428589484</v>
      </c>
      <c r="E144" s="6">
        <v>-5.8642181119709792E-2</v>
      </c>
      <c r="F144" s="8">
        <v>0.97419999999999995</v>
      </c>
      <c r="G144" s="4">
        <v>10087.175999999999</v>
      </c>
      <c r="H144" s="7">
        <v>13.884473234510979</v>
      </c>
      <c r="I144" s="4">
        <v>31017.333203999995</v>
      </c>
      <c r="J144" s="8">
        <v>1.7379</v>
      </c>
      <c r="K144" s="8">
        <v>36.472299999999997</v>
      </c>
      <c r="L144" s="7">
        <v>1</v>
      </c>
      <c r="M144" s="8">
        <v>64.890900000000002</v>
      </c>
      <c r="N144" s="8">
        <v>10.926235558408742</v>
      </c>
      <c r="O144" s="8">
        <v>9.6763956241670817E-3</v>
      </c>
      <c r="P144" s="8">
        <v>1.6837471961149011E-2</v>
      </c>
      <c r="Q144" s="8">
        <v>1.5566748115324358</v>
      </c>
      <c r="R144" s="3">
        <v>8.4097165475099551E-3</v>
      </c>
      <c r="S144" s="33">
        <v>-3.3001487623251439E-4</v>
      </c>
      <c r="T144" s="5">
        <v>51.5</v>
      </c>
      <c r="U144" s="34">
        <v>8.0427099999999987E-2</v>
      </c>
      <c r="V144">
        <v>4.14830066287879</v>
      </c>
    </row>
    <row r="145" spans="1:22" ht="16" x14ac:dyDescent="0.2">
      <c r="A145" s="2" t="s">
        <v>25</v>
      </c>
      <c r="B145" s="5">
        <v>2017</v>
      </c>
      <c r="C145" s="8">
        <v>4.5242813250517022</v>
      </c>
      <c r="D145" s="4">
        <v>0.58441695071205491</v>
      </c>
      <c r="E145" s="6">
        <v>8.0336801652649871E-3</v>
      </c>
      <c r="F145" s="8">
        <v>1.0205</v>
      </c>
      <c r="G145" s="4">
        <v>15664.319</v>
      </c>
      <c r="H145" s="7">
        <v>55.289438788418089</v>
      </c>
      <c r="I145" s="4">
        <v>23198.7995496</v>
      </c>
      <c r="J145" s="8">
        <v>1.7163999999999999</v>
      </c>
      <c r="K145" s="8">
        <v>53.420400000000001</v>
      </c>
      <c r="L145" s="7">
        <v>1</v>
      </c>
      <c r="M145" s="8">
        <v>40.846699999999998</v>
      </c>
      <c r="N145" s="8">
        <v>10.898387300223236</v>
      </c>
      <c r="O145" s="8">
        <v>9.6504733203419193E-3</v>
      </c>
      <c r="P145" s="8">
        <v>7.3943742365276642E-3</v>
      </c>
      <c r="Q145" s="8">
        <v>1.5156871954441375</v>
      </c>
      <c r="R145" s="3">
        <v>8.8583614524045343E-3</v>
      </c>
      <c r="S145" s="33">
        <v>5.9264581238536021E-2</v>
      </c>
      <c r="T145" s="5">
        <v>51.9</v>
      </c>
      <c r="U145" s="34">
        <v>7.8288908333333337E-2</v>
      </c>
      <c r="V145">
        <v>4.3004408776112397</v>
      </c>
    </row>
    <row r="146" spans="1:22" ht="16" x14ac:dyDescent="0.2">
      <c r="A146" s="2" t="s">
        <v>25</v>
      </c>
      <c r="B146" s="5">
        <v>2018</v>
      </c>
      <c r="C146" s="8">
        <v>4.4638541334766062</v>
      </c>
      <c r="D146" s="4">
        <v>0.46112684504620638</v>
      </c>
      <c r="E146" s="6">
        <v>1.3272314310080389E-2</v>
      </c>
      <c r="F146" s="8">
        <v>1.0242</v>
      </c>
      <c r="G146" s="4">
        <v>10597.031999999999</v>
      </c>
      <c r="H146" s="7">
        <v>-32.349232673313153</v>
      </c>
      <c r="I146" s="4">
        <v>36909.9567924</v>
      </c>
      <c r="J146" s="8">
        <v>1.8643000000000001</v>
      </c>
      <c r="K146" s="8">
        <v>56.266300000000001</v>
      </c>
      <c r="L146" s="7">
        <v>1</v>
      </c>
      <c r="M146" s="8">
        <v>41.275700000000001</v>
      </c>
      <c r="N146" s="8">
        <v>10.895595486426616</v>
      </c>
      <c r="O146" s="8">
        <v>9.2277224170756404E-3</v>
      </c>
      <c r="P146" s="8">
        <v>7.6983482615318732E-3</v>
      </c>
      <c r="Q146" s="8">
        <v>1.4209645988483013</v>
      </c>
      <c r="R146" s="3">
        <v>9.4435007542045726E-3</v>
      </c>
      <c r="S146" s="33">
        <v>0.12434534107537239</v>
      </c>
      <c r="T146" s="5">
        <v>53.5</v>
      </c>
      <c r="U146" s="34">
        <v>6.7443749999999997E-2</v>
      </c>
      <c r="V146">
        <v>4.0351301370680597</v>
      </c>
    </row>
    <row r="147" spans="1:22" ht="16" x14ac:dyDescent="0.2">
      <c r="A147" s="2" t="s">
        <v>25</v>
      </c>
      <c r="B147" s="5">
        <v>2019</v>
      </c>
      <c r="C147" s="8">
        <v>4.7296806177567197</v>
      </c>
      <c r="D147" s="4">
        <v>1.0307521589927537</v>
      </c>
      <c r="E147" s="6">
        <v>6.2403403037689627E-3</v>
      </c>
      <c r="F147" s="8">
        <v>1.0105999999999999</v>
      </c>
      <c r="G147" s="4">
        <v>11158.668</v>
      </c>
      <c r="H147" s="7">
        <v>5.2999368124961821</v>
      </c>
      <c r="I147" s="4">
        <v>47658.381563199997</v>
      </c>
      <c r="J147" s="8">
        <v>1.9557</v>
      </c>
      <c r="K147" s="8">
        <v>53.730899999999998</v>
      </c>
      <c r="L147" s="7">
        <v>1</v>
      </c>
      <c r="M147" s="8">
        <v>40.7988</v>
      </c>
      <c r="N147" s="8">
        <v>10.942364893302241</v>
      </c>
      <c r="O147" s="8">
        <v>1.1738164597854553E-2</v>
      </c>
      <c r="P147" s="8">
        <v>6.7993292392559274E-3</v>
      </c>
      <c r="Q147" s="8">
        <v>1.4303700732009821</v>
      </c>
      <c r="R147" s="3">
        <v>9.5124907452686768E-3</v>
      </c>
      <c r="S147" s="33">
        <v>1.7806883043984915E-2</v>
      </c>
      <c r="T147" s="5">
        <v>51.6</v>
      </c>
      <c r="U147" s="34">
        <v>3.4638733333333338E-2</v>
      </c>
      <c r="V147">
        <v>4.1424697356973104</v>
      </c>
    </row>
    <row r="148" spans="1:22" ht="16" x14ac:dyDescent="0.2">
      <c r="A148" s="2" t="s">
        <v>25</v>
      </c>
      <c r="B148" s="5">
        <v>2020</v>
      </c>
      <c r="C148" s="8">
        <v>3.610178069240046</v>
      </c>
      <c r="D148" s="4">
        <v>-0.73346848537222087</v>
      </c>
      <c r="E148" s="6">
        <v>2.8723981077659035E-2</v>
      </c>
      <c r="F148" s="8">
        <v>0.95</v>
      </c>
      <c r="G148" s="4">
        <v>23483.795999999998</v>
      </c>
      <c r="H148" s="7">
        <v>110.45339820129068</v>
      </c>
      <c r="I148" s="4">
        <v>87133.932339999999</v>
      </c>
      <c r="J148" s="8">
        <v>1.9648000000000001</v>
      </c>
      <c r="K148" s="8">
        <v>48.0274</v>
      </c>
      <c r="L148" s="7">
        <v>1</v>
      </c>
      <c r="M148" s="8">
        <v>53.339599999999997</v>
      </c>
      <c r="N148" s="8">
        <v>11.018226767131106</v>
      </c>
      <c r="O148" s="8">
        <v>1.2785874985644635E-2</v>
      </c>
      <c r="P148" s="8">
        <v>1.0145914986732653E-2</v>
      </c>
      <c r="Q148" s="8">
        <v>1.9181809695413323</v>
      </c>
      <c r="R148" s="3">
        <v>9.0175678858024078E-3</v>
      </c>
      <c r="S148" s="33">
        <v>-7.6232140578039884E-2</v>
      </c>
      <c r="T148" s="5">
        <v>52.4</v>
      </c>
      <c r="U148" s="34">
        <v>0.14886964166666666</v>
      </c>
      <c r="V148">
        <v>4.2034819485188404</v>
      </c>
    </row>
    <row r="149" spans="1:22" ht="16" x14ac:dyDescent="0.2">
      <c r="A149" s="2" t="s">
        <v>25</v>
      </c>
      <c r="B149" s="5">
        <v>2021</v>
      </c>
      <c r="C149" s="8">
        <v>3.0479735255636617</v>
      </c>
      <c r="D149" s="4">
        <v>3.4023852289102363</v>
      </c>
      <c r="E149" s="6">
        <v>-2.0728939238336356E-2</v>
      </c>
      <c r="F149" s="8">
        <v>0.96450000000000002</v>
      </c>
      <c r="G149" s="4">
        <v>17146.832999999999</v>
      </c>
      <c r="H149" s="7">
        <v>-26.984406609561763</v>
      </c>
      <c r="I149" s="4">
        <v>103244.24785849999</v>
      </c>
      <c r="J149" s="8">
        <v>2.2372000000000001</v>
      </c>
      <c r="K149" s="8">
        <v>44.051099999999998</v>
      </c>
      <c r="L149" s="7">
        <v>1</v>
      </c>
      <c r="M149" s="8">
        <v>49.360300000000002</v>
      </c>
      <c r="N149" s="8">
        <v>11.014048092376512</v>
      </c>
      <c r="O149" s="8">
        <v>2.0699683346734669E-2</v>
      </c>
      <c r="P149" s="8">
        <v>7.0335679965557053E-3</v>
      </c>
      <c r="Q149" s="8">
        <v>1.6052279720684361</v>
      </c>
      <c r="R149" s="3">
        <v>9.1047063649671942E-3</v>
      </c>
      <c r="S149" s="33">
        <v>0.10565502625103547</v>
      </c>
      <c r="T149" s="5">
        <v>52.8</v>
      </c>
      <c r="U149" s="34">
        <v>0.22783804166666666</v>
      </c>
      <c r="V149">
        <v>4.1432975981772104</v>
      </c>
    </row>
    <row r="150" spans="1:22" ht="16" x14ac:dyDescent="0.2">
      <c r="A150" s="2" t="s">
        <v>25</v>
      </c>
      <c r="B150" s="5">
        <v>2022</v>
      </c>
      <c r="C150" s="8">
        <v>4.5695964619792147</v>
      </c>
      <c r="D150" s="4">
        <v>6.6779806761844709</v>
      </c>
      <c r="E150" s="6">
        <v>-4.9990562104947553E-2</v>
      </c>
      <c r="F150" s="8">
        <v>0.99039999999999995</v>
      </c>
      <c r="G150" s="4">
        <v>19509.254000000001</v>
      </c>
      <c r="H150" s="7">
        <v>13.777593798225027</v>
      </c>
      <c r="I150" s="4">
        <v>85325.297998800001</v>
      </c>
      <c r="J150" s="8">
        <v>2.2201</v>
      </c>
      <c r="K150" s="8">
        <v>44.0627</v>
      </c>
      <c r="L150" s="7">
        <v>1</v>
      </c>
      <c r="M150" s="8">
        <v>52.7883</v>
      </c>
      <c r="N150" s="8">
        <v>11.032432664202764</v>
      </c>
      <c r="O150" s="8">
        <v>2.3065327603613593E-2</v>
      </c>
      <c r="P150" s="8">
        <v>6.6267925976046162E-3</v>
      </c>
      <c r="Q150" s="8">
        <v>0.68034599006173047</v>
      </c>
      <c r="R150" s="3">
        <v>9.5855193627545424E-3</v>
      </c>
      <c r="S150" s="33">
        <v>8.9347299498855171E-2</v>
      </c>
      <c r="T150" s="5">
        <v>53</v>
      </c>
      <c r="U150" s="34">
        <v>0.18707895833333332</v>
      </c>
      <c r="V150">
        <v>4.4010763454007202</v>
      </c>
    </row>
    <row r="151" spans="1:22" x14ac:dyDescent="0.2">
      <c r="A151" s="2"/>
      <c r="C151" s="8"/>
      <c r="D151" s="4"/>
      <c r="E151" s="6"/>
      <c r="F151" s="8"/>
      <c r="G151" s="4"/>
      <c r="I151" s="4"/>
      <c r="J151" s="8"/>
      <c r="K151" s="8"/>
      <c r="L151" s="7"/>
      <c r="M151" s="8"/>
      <c r="N151" s="8"/>
      <c r="O151" s="8"/>
      <c r="P151" s="8"/>
      <c r="Q151" s="8"/>
      <c r="R151" s="3"/>
    </row>
    <row r="152" spans="1:22" ht="16" x14ac:dyDescent="0.2">
      <c r="A152" s="2" t="s">
        <v>63</v>
      </c>
      <c r="B152" s="5">
        <v>2014</v>
      </c>
      <c r="C152" s="4">
        <v>1.4213552954556474</v>
      </c>
      <c r="D152" s="4">
        <v>0.6375110969045662</v>
      </c>
      <c r="E152" s="13">
        <v>2.1633382196747895E-3</v>
      </c>
      <c r="F152" s="4">
        <v>1.0640000000000001</v>
      </c>
      <c r="G152" s="4">
        <v>20590.060000000001</v>
      </c>
      <c r="H152" s="7">
        <v>-2.385781267037391</v>
      </c>
      <c r="I152" s="4">
        <v>166216.38937799999</v>
      </c>
      <c r="J152" s="4">
        <v>2.1671999999999998</v>
      </c>
      <c r="K152" s="4">
        <v>46.968200000000003</v>
      </c>
      <c r="L152" s="7">
        <v>1</v>
      </c>
      <c r="M152" s="4">
        <v>133.7413</v>
      </c>
      <c r="N152" s="4">
        <v>11.796143764595202</v>
      </c>
      <c r="O152" s="4">
        <v>2.3720139677989711E-2</v>
      </c>
      <c r="P152" s="7">
        <v>1.227969159742892E-4</v>
      </c>
      <c r="Q152" s="4">
        <v>0.98792524322569275</v>
      </c>
      <c r="R152" s="3">
        <v>9.9542546935080783E-3</v>
      </c>
      <c r="S152" s="33">
        <v>4.5749844464168611E-2</v>
      </c>
      <c r="T152" s="5">
        <v>47.6</v>
      </c>
      <c r="U152" s="34">
        <v>3.642151666666666E-2</v>
      </c>
      <c r="V152">
        <v>3.2728597464304698</v>
      </c>
    </row>
    <row r="153" spans="1:22" ht="16" x14ac:dyDescent="0.2">
      <c r="A153" s="2" t="s">
        <v>63</v>
      </c>
      <c r="B153" s="5">
        <v>2015</v>
      </c>
      <c r="C153" s="4">
        <v>1.4983343874754294</v>
      </c>
      <c r="D153" s="4">
        <v>0.55377363728935214</v>
      </c>
      <c r="E153" s="13">
        <v>1.2397632022146485E-2</v>
      </c>
      <c r="F153" s="4">
        <v>1.0351999999999999</v>
      </c>
      <c r="G153" s="4">
        <v>22547.4</v>
      </c>
      <c r="H153" s="7">
        <v>9.5062374757528634</v>
      </c>
      <c r="I153" s="4">
        <v>157273.01472959999</v>
      </c>
      <c r="J153" s="4">
        <v>1.8344</v>
      </c>
      <c r="K153" s="4">
        <v>45.115000000000002</v>
      </c>
      <c r="L153" s="7">
        <v>1</v>
      </c>
      <c r="M153" s="4">
        <v>115.7779</v>
      </c>
      <c r="N153" s="4">
        <v>11.804130006237971</v>
      </c>
      <c r="O153" s="4">
        <v>1.877920603114613E-2</v>
      </c>
      <c r="P153" s="7">
        <v>2.5410335058884418E-5</v>
      </c>
      <c r="Q153" s="4">
        <v>0.90196694311466108</v>
      </c>
      <c r="R153" s="3">
        <v>9.5325038863244733E-3</v>
      </c>
      <c r="S153" s="33">
        <v>-0.10859218146637346</v>
      </c>
      <c r="T153" s="5">
        <v>49.2</v>
      </c>
      <c r="U153" s="34">
        <v>0.13826017499999999</v>
      </c>
      <c r="V153">
        <v>3.9055002630276801</v>
      </c>
    </row>
    <row r="154" spans="1:22" ht="16" x14ac:dyDescent="0.2">
      <c r="A154" s="2" t="s">
        <v>63</v>
      </c>
      <c r="B154" s="5">
        <v>2016</v>
      </c>
      <c r="C154" s="4">
        <v>1.0537066521849139</v>
      </c>
      <c r="D154" s="4">
        <v>6.0682123026791048</v>
      </c>
      <c r="E154" s="13">
        <v>-4.4061778605074327E-2</v>
      </c>
      <c r="F154" s="4">
        <v>0.99029999999999996</v>
      </c>
      <c r="G154" s="4">
        <v>24120.61</v>
      </c>
      <c r="H154" s="7">
        <v>6.9773455032509242</v>
      </c>
      <c r="I154" s="4">
        <v>159954.99119999999</v>
      </c>
      <c r="J154" s="4">
        <v>1.5259</v>
      </c>
      <c r="K154" s="4">
        <v>57.762099999999997</v>
      </c>
      <c r="L154" s="7">
        <v>1</v>
      </c>
      <c r="M154" s="4">
        <v>114.0318</v>
      </c>
      <c r="N154" s="4">
        <v>11.803832332177624</v>
      </c>
      <c r="O154" s="4">
        <v>1.5689877539064215E-2</v>
      </c>
      <c r="P154" s="7">
        <v>5.0835800364821622E-5</v>
      </c>
      <c r="Q154" s="4">
        <v>1.4228780857501546</v>
      </c>
      <c r="R154" s="3">
        <v>9.7270600057316452E-3</v>
      </c>
      <c r="S154" s="33">
        <v>-3.3001487623251439E-4</v>
      </c>
      <c r="T154" s="5">
        <v>51.5</v>
      </c>
      <c r="U154" s="34">
        <v>8.0427099999999987E-2</v>
      </c>
      <c r="V154">
        <v>4.14830066287879</v>
      </c>
    </row>
    <row r="155" spans="1:22" ht="16" x14ac:dyDescent="0.2">
      <c r="A155" s="2" t="s">
        <v>63</v>
      </c>
      <c r="B155" s="5">
        <v>2017</v>
      </c>
      <c r="C155" s="4">
        <v>1.0729440508624766</v>
      </c>
      <c r="D155" s="4">
        <v>1.4171296482694813</v>
      </c>
      <c r="E155" s="13">
        <v>-3.5748228411640825E-4</v>
      </c>
      <c r="F155" s="4">
        <v>0.98509999999999998</v>
      </c>
      <c r="G155" s="4">
        <v>22727.38</v>
      </c>
      <c r="H155" s="7">
        <v>-5.7760977023383715</v>
      </c>
      <c r="I155" s="4">
        <v>168931.2054025</v>
      </c>
      <c r="J155" s="4">
        <v>1.4339999999999999</v>
      </c>
      <c r="K155" s="4">
        <v>57.364899999999999</v>
      </c>
      <c r="L155" s="7">
        <v>1</v>
      </c>
      <c r="M155" s="4">
        <v>95.530699999999996</v>
      </c>
      <c r="N155" s="4">
        <v>11.811307203789815</v>
      </c>
      <c r="O155" s="4">
        <v>1.2318904421400002E-2</v>
      </c>
      <c r="P155" s="7">
        <v>4.3779063686776686E-5</v>
      </c>
      <c r="Q155" s="4">
        <v>1.3782809784151788</v>
      </c>
      <c r="R155" s="3">
        <v>9.6860472001337738E-3</v>
      </c>
      <c r="S155" s="33">
        <v>5.9264581238536021E-2</v>
      </c>
      <c r="T155" s="5">
        <v>51.9</v>
      </c>
      <c r="U155" s="34">
        <v>7.8288908333333337E-2</v>
      </c>
      <c r="V155">
        <v>4.3004408776112397</v>
      </c>
    </row>
    <row r="156" spans="1:22" ht="16" x14ac:dyDescent="0.2">
      <c r="A156" s="2" t="s">
        <v>63</v>
      </c>
      <c r="B156" s="5">
        <v>2018</v>
      </c>
      <c r="C156" s="4">
        <v>0.92335478517189851</v>
      </c>
      <c r="D156" s="4">
        <v>2.4526151910582712</v>
      </c>
      <c r="E156" s="13">
        <v>-7.153344324828983E-3</v>
      </c>
      <c r="F156" s="4">
        <v>0.96530000000000005</v>
      </c>
      <c r="G156" s="4">
        <v>27694.27</v>
      </c>
      <c r="H156" s="7">
        <v>21.854212848115353</v>
      </c>
      <c r="I156" s="4">
        <v>163844.28105689998</v>
      </c>
      <c r="J156" s="4">
        <v>1.4528000000000001</v>
      </c>
      <c r="K156" s="4">
        <v>61.146700000000003</v>
      </c>
      <c r="L156" s="7">
        <v>1</v>
      </c>
      <c r="M156" s="4">
        <v>94.084999999999994</v>
      </c>
      <c r="N156" s="4">
        <v>11.834148035675748</v>
      </c>
      <c r="O156" s="4">
        <v>9.7935834083514098E-3</v>
      </c>
      <c r="P156" s="7">
        <v>1.4867867125334809E-4</v>
      </c>
      <c r="Q156" s="4">
        <v>1.7143914030917573</v>
      </c>
      <c r="R156" s="3">
        <v>1.0053870068529838E-2</v>
      </c>
      <c r="S156" s="33">
        <v>0.12434534107537239</v>
      </c>
      <c r="T156" s="5">
        <v>53.5</v>
      </c>
      <c r="U156" s="34">
        <v>6.7443749999999997E-2</v>
      </c>
      <c r="V156">
        <v>4.0351301370680597</v>
      </c>
    </row>
    <row r="157" spans="1:22" ht="16" x14ac:dyDescent="0.2">
      <c r="A157" s="2" t="s">
        <v>63</v>
      </c>
      <c r="B157" s="5">
        <v>2019</v>
      </c>
      <c r="C157" s="4">
        <v>1.0908850519036124</v>
      </c>
      <c r="D157" s="4">
        <v>2.1154656404032379</v>
      </c>
      <c r="E157" s="13">
        <v>-7.7079242678463732E-3</v>
      </c>
      <c r="F157" s="4">
        <v>0.97509999999999997</v>
      </c>
      <c r="G157" s="4">
        <v>23460.73</v>
      </c>
      <c r="H157" s="7">
        <v>-15.286700100778972</v>
      </c>
      <c r="I157" s="4">
        <v>162064.54403999998</v>
      </c>
      <c r="J157" s="4">
        <v>1.3353999999999999</v>
      </c>
      <c r="K157" s="4">
        <v>54.406599999999997</v>
      </c>
      <c r="L157" s="7">
        <v>1</v>
      </c>
      <c r="M157" s="4">
        <v>136.7021</v>
      </c>
      <c r="N157" s="4">
        <v>11.975359265218614</v>
      </c>
      <c r="O157" s="4">
        <v>1.2769861978492282E-2</v>
      </c>
      <c r="P157" s="7">
        <v>1.2469032088235405E-4</v>
      </c>
      <c r="Q157" s="4">
        <v>1.5266727294721261</v>
      </c>
      <c r="R157" s="3">
        <v>9.5256691332251935E-3</v>
      </c>
      <c r="S157" s="33">
        <v>1.7806883043984915E-2</v>
      </c>
      <c r="T157" s="5">
        <v>51.6</v>
      </c>
      <c r="U157" s="34">
        <v>3.4638733333333338E-2</v>
      </c>
      <c r="V157">
        <v>4.1424697356973104</v>
      </c>
    </row>
    <row r="158" spans="1:22" ht="16" x14ac:dyDescent="0.2">
      <c r="A158" s="2" t="s">
        <v>63</v>
      </c>
      <c r="B158" s="5">
        <v>2020</v>
      </c>
      <c r="C158" s="4">
        <v>0.89881080869756247</v>
      </c>
      <c r="D158" s="4">
        <v>1.4982801772478709</v>
      </c>
      <c r="E158" s="13">
        <v>4.7488411528612603E-3</v>
      </c>
      <c r="F158" s="4">
        <v>0.94350000000000001</v>
      </c>
      <c r="G158" s="4">
        <v>23223.96</v>
      </c>
      <c r="H158" s="7">
        <v>-1.0092183832301913</v>
      </c>
      <c r="I158" s="4">
        <v>189676.65940600002</v>
      </c>
      <c r="J158" s="4">
        <v>1.3762000000000001</v>
      </c>
      <c r="K158" s="4">
        <v>49.599800000000002</v>
      </c>
      <c r="L158" s="7">
        <v>1</v>
      </c>
      <c r="M158" s="4">
        <v>149.41470000000001</v>
      </c>
      <c r="N158" s="4">
        <v>12.038854964758622</v>
      </c>
      <c r="O158" s="4">
        <v>1.1823320597049337E-2</v>
      </c>
      <c r="P158" s="7">
        <v>4.4325432693349337E-4</v>
      </c>
      <c r="Q158" s="4">
        <v>1.6805155218712693</v>
      </c>
      <c r="R158" s="3">
        <v>9.4911654604866343E-3</v>
      </c>
      <c r="S158" s="33">
        <v>-7.6232140578039884E-2</v>
      </c>
      <c r="T158" s="5">
        <v>52.4</v>
      </c>
      <c r="U158" s="34">
        <v>0.14886964166666666</v>
      </c>
      <c r="V158">
        <v>4.2034819485188404</v>
      </c>
    </row>
    <row r="159" spans="1:22" ht="16" x14ac:dyDescent="0.2">
      <c r="A159" s="2" t="s">
        <v>63</v>
      </c>
      <c r="B159" s="5">
        <v>2021</v>
      </c>
      <c r="C159" s="4">
        <v>-2.0838865784124327</v>
      </c>
      <c r="D159" s="4">
        <v>2.8034132518554551</v>
      </c>
      <c r="E159" s="13">
        <v>-9.4959384189024099E-3</v>
      </c>
      <c r="F159" s="4">
        <v>0.9657</v>
      </c>
      <c r="G159" s="4">
        <v>25109.23</v>
      </c>
      <c r="H159" s="7">
        <v>8.1177800857390405</v>
      </c>
      <c r="I159" s="4">
        <v>177036.43763619999</v>
      </c>
      <c r="J159" s="4">
        <v>1.4641999999999999</v>
      </c>
      <c r="K159" s="4">
        <v>50.0884</v>
      </c>
      <c r="L159" s="7">
        <v>0</v>
      </c>
      <c r="M159" s="4">
        <v>154.2681</v>
      </c>
      <c r="N159" s="4">
        <v>12.04460171962592</v>
      </c>
      <c r="O159" s="4">
        <v>1.8419816265134413E-2</v>
      </c>
      <c r="P159" s="7">
        <v>9.7721063703004032E-4</v>
      </c>
      <c r="Q159" s="4">
        <v>1.6648702063469014</v>
      </c>
      <c r="R159" s="3">
        <v>9.3487033972241788E-3</v>
      </c>
      <c r="S159" s="33">
        <v>0.10565502625103547</v>
      </c>
      <c r="T159" s="5">
        <v>52.8</v>
      </c>
      <c r="U159" s="34">
        <v>0.22783804166666666</v>
      </c>
      <c r="V159">
        <v>4.1432975981772104</v>
      </c>
    </row>
    <row r="160" spans="1:22" ht="16" x14ac:dyDescent="0.2">
      <c r="A160" s="2" t="s">
        <v>63</v>
      </c>
      <c r="B160" s="5">
        <v>2022</v>
      </c>
      <c r="C160" s="4">
        <v>0.93792275276711723</v>
      </c>
      <c r="D160" s="4">
        <v>6.0739755648723026</v>
      </c>
      <c r="E160" s="13">
        <v>-4.5575209297556117E-2</v>
      </c>
      <c r="F160" s="4">
        <v>0.97430000000000005</v>
      </c>
      <c r="G160" s="4">
        <v>21276.09</v>
      </c>
      <c r="H160" s="7">
        <v>-15.265860402728398</v>
      </c>
      <c r="I160" s="4">
        <v>167602.2604425</v>
      </c>
      <c r="J160" s="4">
        <v>1.5415000000000001</v>
      </c>
      <c r="K160" s="4">
        <v>52.203899999999997</v>
      </c>
      <c r="L160" s="7">
        <v>1</v>
      </c>
      <c r="M160" s="4">
        <v>145.4846</v>
      </c>
      <c r="N160" s="4">
        <v>12.071734670562696</v>
      </c>
      <c r="O160" s="4">
        <v>1.6064035462791532E-2</v>
      </c>
      <c r="P160" s="7">
        <v>9.7621565227118401E-4</v>
      </c>
      <c r="Q160" s="4">
        <v>1.0028114536002524</v>
      </c>
      <c r="R160" s="3">
        <v>9.7879470745726345E-3</v>
      </c>
      <c r="S160" s="33">
        <v>8.9347299498855171E-2</v>
      </c>
      <c r="T160" s="5">
        <v>53</v>
      </c>
      <c r="U160" s="34">
        <v>0.18707895833333332</v>
      </c>
      <c r="V160">
        <v>4.4010763454007202</v>
      </c>
    </row>
    <row r="161" spans="1:23" x14ac:dyDescent="0.2">
      <c r="C161" s="8"/>
      <c r="D161" s="4"/>
      <c r="E161" s="6"/>
      <c r="F161" s="8"/>
      <c r="G161" s="4"/>
      <c r="I161" s="4"/>
      <c r="J161" s="8"/>
      <c r="K161" s="8"/>
      <c r="L161" s="7"/>
      <c r="M161" s="8"/>
      <c r="N161" s="8"/>
      <c r="O161" s="8"/>
      <c r="P161" s="8"/>
      <c r="Q161" s="8"/>
      <c r="R161" s="3"/>
    </row>
    <row r="162" spans="1:23" ht="16" x14ac:dyDescent="0.2">
      <c r="A162" s="2" t="s">
        <v>64</v>
      </c>
      <c r="B162" s="5">
        <v>2014</v>
      </c>
      <c r="C162" s="4">
        <v>2.4385955052679984</v>
      </c>
      <c r="D162" s="4">
        <v>2.8669415698552645</v>
      </c>
      <c r="E162" s="9">
        <v>-1.58720103984312E-2</v>
      </c>
      <c r="F162" s="4">
        <v>0.99539999999999995</v>
      </c>
      <c r="G162" s="4">
        <v>3466.34</v>
      </c>
      <c r="H162" s="7">
        <v>40.160040111114256</v>
      </c>
      <c r="I162" s="4">
        <v>100244.24785850001</v>
      </c>
      <c r="J162" s="4">
        <v>0.95499999999999996</v>
      </c>
      <c r="K162" s="4">
        <v>45.425199999999997</v>
      </c>
      <c r="L162" s="7">
        <v>1</v>
      </c>
      <c r="M162" s="4">
        <v>105.4738</v>
      </c>
      <c r="N162" s="4">
        <v>10.994247458451499</v>
      </c>
      <c r="O162" s="4">
        <v>1.0594885707449819E-2</v>
      </c>
      <c r="P162" s="7">
        <v>3.7439504744963367E-2</v>
      </c>
      <c r="Q162" s="4">
        <v>2.0153281387974076</v>
      </c>
      <c r="R162" s="3">
        <v>1.0448342481854228E-2</v>
      </c>
      <c r="S162" s="33">
        <v>4.5749844464168611E-2</v>
      </c>
      <c r="T162" s="5">
        <v>47.6</v>
      </c>
      <c r="U162" s="34">
        <v>3.642151666666666E-2</v>
      </c>
      <c r="V162">
        <v>3.2728597464304698</v>
      </c>
    </row>
    <row r="163" spans="1:23" ht="16" x14ac:dyDescent="0.2">
      <c r="A163" s="2" t="s">
        <v>64</v>
      </c>
      <c r="B163" s="5">
        <v>2015</v>
      </c>
      <c r="C163" s="4">
        <v>2.4287141798521796</v>
      </c>
      <c r="D163" s="4">
        <v>3.8182395685881136</v>
      </c>
      <c r="E163" s="9">
        <v>-2.2497134218345326E-2</v>
      </c>
      <c r="F163" s="4">
        <v>0.97409999999999997</v>
      </c>
      <c r="G163" s="4">
        <v>3428.76</v>
      </c>
      <c r="H163" s="7">
        <v>-1.0841406209431252</v>
      </c>
      <c r="I163" s="4">
        <v>107777.93</v>
      </c>
      <c r="J163" s="4">
        <v>0.76629999999999998</v>
      </c>
      <c r="K163" s="4">
        <v>50.398299999999999</v>
      </c>
      <c r="L163" s="7">
        <v>1</v>
      </c>
      <c r="M163" s="4">
        <v>67.978099999999998</v>
      </c>
      <c r="N163" s="4">
        <v>10.99954230683289</v>
      </c>
      <c r="O163" s="4">
        <v>3.2475364905997358E-3</v>
      </c>
      <c r="P163" s="7">
        <v>1.706024307688318E-2</v>
      </c>
      <c r="Q163" s="4">
        <v>3.2990533619765587</v>
      </c>
      <c r="R163" s="3">
        <v>3.2174994549529538E-2</v>
      </c>
      <c r="S163" s="33">
        <v>-0.10859218146637346</v>
      </c>
      <c r="T163" s="5">
        <v>49.2</v>
      </c>
      <c r="U163" s="34">
        <v>0.13826017499999999</v>
      </c>
      <c r="V163">
        <v>3.9055002630276801</v>
      </c>
    </row>
    <row r="164" spans="1:23" ht="16" x14ac:dyDescent="0.2">
      <c r="A164" s="2" t="s">
        <v>64</v>
      </c>
      <c r="B164" s="5">
        <v>2016</v>
      </c>
      <c r="C164" s="4">
        <v>3.1483366316693586</v>
      </c>
      <c r="D164" s="4">
        <v>23.534337104261887</v>
      </c>
      <c r="E164" s="9">
        <v>-0.22623764534454588</v>
      </c>
      <c r="F164" s="4">
        <v>0.97060000000000002</v>
      </c>
      <c r="G164" s="4">
        <v>3213.04</v>
      </c>
      <c r="H164" s="7">
        <v>-6.2914873015317561</v>
      </c>
      <c r="I164" s="4">
        <v>115311.62</v>
      </c>
      <c r="J164" s="4">
        <v>0.52</v>
      </c>
      <c r="K164" s="4">
        <v>52.397300000000001</v>
      </c>
      <c r="L164" s="7">
        <v>1</v>
      </c>
      <c r="M164" s="4">
        <v>83.598200000000006</v>
      </c>
      <c r="N164" s="4">
        <v>11.005214801341253</v>
      </c>
      <c r="O164" s="4">
        <v>2.4275296945817791E-3</v>
      </c>
      <c r="P164" s="7">
        <v>1.7744639976457449E-2</v>
      </c>
      <c r="Q164" s="4">
        <v>2.4807707299111477</v>
      </c>
      <c r="R164" s="3">
        <v>3.3220436719085811E-2</v>
      </c>
      <c r="S164" s="33">
        <v>-3.3001487623251439E-4</v>
      </c>
      <c r="T164" s="5">
        <v>51.5</v>
      </c>
      <c r="U164" s="34">
        <v>8.0427099999999987E-2</v>
      </c>
      <c r="V164">
        <v>4.14830066287879</v>
      </c>
    </row>
    <row r="165" spans="1:23" ht="16" x14ac:dyDescent="0.2">
      <c r="A165" s="2" t="s">
        <v>64</v>
      </c>
      <c r="B165" s="5">
        <v>2017</v>
      </c>
      <c r="C165" s="4">
        <v>2.7542739496595572</v>
      </c>
      <c r="D165" s="4">
        <v>-0.42504766969553626</v>
      </c>
      <c r="E165" s="9">
        <v>1.5574578226834874E-2</v>
      </c>
      <c r="F165" s="4">
        <v>0.94599999999999995</v>
      </c>
      <c r="G165" s="4">
        <v>4098.72</v>
      </c>
      <c r="H165" s="7">
        <v>27.565171924408045</v>
      </c>
      <c r="I165" s="4">
        <v>122845.3</v>
      </c>
      <c r="J165" s="4">
        <v>0.81430000000000002</v>
      </c>
      <c r="K165" s="4">
        <v>63.267499999999998</v>
      </c>
      <c r="L165" s="7">
        <v>1</v>
      </c>
      <c r="M165" s="4">
        <v>105.58159999999999</v>
      </c>
      <c r="N165" s="4">
        <v>11.156376098860557</v>
      </c>
      <c r="O165" s="4">
        <v>7.2175266561020955E-3</v>
      </c>
      <c r="P165" s="7">
        <v>1.511524459835337E-2</v>
      </c>
      <c r="Q165" s="4">
        <v>2.9579860317087343</v>
      </c>
      <c r="R165" s="3">
        <v>9.0443714194400459E-3</v>
      </c>
      <c r="S165" s="33">
        <v>5.9264581238536021E-2</v>
      </c>
      <c r="T165" s="5">
        <v>51.9</v>
      </c>
      <c r="U165" s="34">
        <v>7.8288908333333337E-2</v>
      </c>
      <c r="V165">
        <v>4.3004408776112397</v>
      </c>
    </row>
    <row r="166" spans="1:23" ht="16" x14ac:dyDescent="0.2">
      <c r="A166" s="2" t="s">
        <v>64</v>
      </c>
      <c r="B166" s="5">
        <v>2018</v>
      </c>
      <c r="C166" s="4">
        <v>2.9113203564004184</v>
      </c>
      <c r="D166" s="4">
        <v>2.0511213904474072E-2</v>
      </c>
      <c r="E166" s="9">
        <v>1.2966899931344074E-2</v>
      </c>
      <c r="F166" s="4">
        <v>0.94289999999999996</v>
      </c>
      <c r="G166" s="4">
        <v>3915.79</v>
      </c>
      <c r="H166" s="7">
        <v>-4.463100675332794</v>
      </c>
      <c r="I166" s="4">
        <v>130378.98</v>
      </c>
      <c r="J166" s="4">
        <v>1.5138</v>
      </c>
      <c r="K166" s="4">
        <v>66.599400000000003</v>
      </c>
      <c r="L166" s="7">
        <v>1</v>
      </c>
      <c r="M166" s="4">
        <v>92.014499999999998</v>
      </c>
      <c r="N166" s="4">
        <v>11.238178992391646</v>
      </c>
      <c r="O166" s="4">
        <v>1.1859480212731949E-2</v>
      </c>
      <c r="P166" s="7">
        <v>2.0145710372021487E-2</v>
      </c>
      <c r="Q166" s="4">
        <v>2.8203654725555127</v>
      </c>
      <c r="R166" s="3">
        <v>8.5396811350810283E-3</v>
      </c>
      <c r="S166" s="33">
        <v>0.12434534107537239</v>
      </c>
      <c r="T166" s="5">
        <v>53.5</v>
      </c>
      <c r="U166" s="34">
        <v>6.7443749999999997E-2</v>
      </c>
      <c r="V166">
        <v>4.0351301370680597</v>
      </c>
    </row>
    <row r="167" spans="1:23" ht="16" x14ac:dyDescent="0.2">
      <c r="A167" s="2" t="s">
        <v>64</v>
      </c>
      <c r="B167" s="5">
        <v>2019</v>
      </c>
      <c r="C167" s="4">
        <v>2.9447802189792207</v>
      </c>
      <c r="D167" s="4">
        <v>101.43236926791927</v>
      </c>
      <c r="E167" s="9">
        <v>-1.0162721006096269</v>
      </c>
      <c r="F167" s="4">
        <v>0.91859999999999997</v>
      </c>
      <c r="G167" s="4">
        <v>4599.29</v>
      </c>
      <c r="H167" s="7">
        <v>17.454970772181348</v>
      </c>
      <c r="I167" s="4">
        <v>137912.66671599998</v>
      </c>
      <c r="J167" s="4">
        <v>1.1942999999999999</v>
      </c>
      <c r="K167" s="4">
        <v>65.321899999999999</v>
      </c>
      <c r="L167" s="7">
        <v>0</v>
      </c>
      <c r="M167" s="4">
        <v>57.776699999999998</v>
      </c>
      <c r="N167" s="4">
        <v>11.132268991989854</v>
      </c>
      <c r="O167" s="4">
        <v>1.2489237279908439E-2</v>
      </c>
      <c r="P167" s="7">
        <v>1.6306400663189394E-2</v>
      </c>
      <c r="Q167" s="4">
        <v>2.46932089980527</v>
      </c>
      <c r="R167" s="3">
        <v>8.9961856712901141E-3</v>
      </c>
      <c r="S167" s="33">
        <v>1.7806883043984915E-2</v>
      </c>
      <c r="T167" s="5">
        <v>51.6</v>
      </c>
      <c r="U167" s="34">
        <v>3.4638733333333338E-2</v>
      </c>
      <c r="V167">
        <v>4.1424697356973104</v>
      </c>
    </row>
    <row r="168" spans="1:23" ht="16" x14ac:dyDescent="0.2">
      <c r="A168" s="2" t="s">
        <v>64</v>
      </c>
      <c r="B168" s="5">
        <v>2020</v>
      </c>
      <c r="C168" s="4">
        <v>1.7110973217392278</v>
      </c>
      <c r="D168" s="4">
        <v>1.3830444231805803</v>
      </c>
      <c r="E168" s="9">
        <v>4.3373226451036209E-3</v>
      </c>
      <c r="F168" s="4">
        <v>0.91749999999999998</v>
      </c>
      <c r="G168" s="4">
        <v>6204.85</v>
      </c>
      <c r="H168" s="7">
        <v>34.908866368504718</v>
      </c>
      <c r="I168" s="4">
        <v>0</v>
      </c>
      <c r="J168" s="4">
        <v>1.2927</v>
      </c>
      <c r="K168" s="4">
        <v>61.911799999999999</v>
      </c>
      <c r="L168" s="7">
        <v>0</v>
      </c>
      <c r="M168" s="4">
        <v>74.362399999999994</v>
      </c>
      <c r="N168" s="4">
        <v>11.149607418692742</v>
      </c>
      <c r="O168" s="4">
        <v>1.6851788599551939E-2</v>
      </c>
      <c r="P168" s="7">
        <v>1.9335162626190516E-2</v>
      </c>
      <c r="Q168" s="4">
        <v>3.4559936666154476</v>
      </c>
      <c r="R168" s="3">
        <v>9.2755781465753383E-3</v>
      </c>
      <c r="S168" s="33">
        <v>-7.6232140578039884E-2</v>
      </c>
      <c r="T168" s="5">
        <v>52.4</v>
      </c>
      <c r="U168" s="34">
        <v>0.14886964166666666</v>
      </c>
      <c r="V168">
        <v>4.2034819485188404</v>
      </c>
    </row>
    <row r="169" spans="1:23" ht="16" x14ac:dyDescent="0.2">
      <c r="A169" s="2" t="s">
        <v>64</v>
      </c>
      <c r="B169" s="5">
        <v>2021</v>
      </c>
      <c r="C169" s="4">
        <v>3.0365908096254346</v>
      </c>
      <c r="D169" s="4">
        <v>0.47131137606760987</v>
      </c>
      <c r="E169" s="9">
        <v>7.9583752257411187E-3</v>
      </c>
      <c r="F169" s="4">
        <v>0.92079999999999995</v>
      </c>
      <c r="G169" s="4">
        <v>7976.95</v>
      </c>
      <c r="H169" s="7">
        <v>28.559916839246707</v>
      </c>
      <c r="I169" s="4">
        <v>130592.2361315</v>
      </c>
      <c r="J169" s="4">
        <v>1.3985000000000001</v>
      </c>
      <c r="K169" s="4">
        <v>63.101100000000002</v>
      </c>
      <c r="L169" s="7">
        <v>0</v>
      </c>
      <c r="M169" s="4">
        <v>69.211200000000005</v>
      </c>
      <c r="N169" s="4">
        <v>11.269949864677026</v>
      </c>
      <c r="O169" s="4">
        <v>1.7295177074504439E-2</v>
      </c>
      <c r="P169" s="7">
        <v>2.2654866534492026E-2</v>
      </c>
      <c r="Q169" s="4">
        <v>1.7289576924791583</v>
      </c>
      <c r="R169" s="3">
        <v>8.7450761308775337E-3</v>
      </c>
      <c r="S169" s="33">
        <v>0.10565502625103547</v>
      </c>
      <c r="T169" s="5">
        <v>52.8</v>
      </c>
      <c r="U169" s="34">
        <v>0.22783804166666666</v>
      </c>
      <c r="V169">
        <v>4.1432975981772104</v>
      </c>
      <c r="W169" s="34"/>
    </row>
    <row r="170" spans="1:23" ht="16" x14ac:dyDescent="0.2">
      <c r="A170" s="2" t="s">
        <v>64</v>
      </c>
      <c r="B170" s="5">
        <v>2022</v>
      </c>
      <c r="C170" s="4">
        <v>5.4890149498627485</v>
      </c>
      <c r="D170" s="4">
        <v>-24.854534928147704</v>
      </c>
      <c r="E170" s="9">
        <v>0.27032829883581772</v>
      </c>
      <c r="F170" s="4">
        <v>0.93330000000000002</v>
      </c>
      <c r="G170" s="4">
        <v>8638.39</v>
      </c>
      <c r="H170" s="7">
        <v>8.2918910109753678</v>
      </c>
      <c r="I170" s="4">
        <v>117121.0917492</v>
      </c>
      <c r="J170" s="4">
        <v>1.3695999999999999</v>
      </c>
      <c r="K170" s="4">
        <v>68.547499999999999</v>
      </c>
      <c r="L170" s="7">
        <v>0</v>
      </c>
      <c r="M170" s="4">
        <v>111.30670000000001</v>
      </c>
      <c r="N170" s="4">
        <v>11.408907125967982</v>
      </c>
      <c r="O170" s="4">
        <v>2.3774138129966732E-2</v>
      </c>
      <c r="P170" s="7">
        <v>1.2260200264140797E-2</v>
      </c>
      <c r="Q170" s="4">
        <v>5.2299098989407033</v>
      </c>
      <c r="R170" s="3">
        <v>9.1302188783613739E-3</v>
      </c>
      <c r="S170" s="33">
        <v>8.9347299498855171E-2</v>
      </c>
      <c r="T170" s="5">
        <v>53</v>
      </c>
      <c r="U170" s="34">
        <v>0.18707895833333332</v>
      </c>
      <c r="V170">
        <v>4.4010763454007202</v>
      </c>
      <c r="W170" s="34"/>
    </row>
    <row r="171" spans="1:23" x14ac:dyDescent="0.2">
      <c r="A171" s="2"/>
      <c r="C171" s="4"/>
      <c r="D171" s="4"/>
      <c r="E171" s="6"/>
      <c r="F171" s="4"/>
      <c r="G171" s="4"/>
      <c r="I171" s="4"/>
      <c r="J171" s="4"/>
      <c r="K171" s="4"/>
      <c r="L171" s="7"/>
      <c r="M171" s="4"/>
      <c r="N171" s="4"/>
      <c r="O171" s="4"/>
      <c r="Q171" s="4"/>
      <c r="R171" s="3"/>
      <c r="S171" s="2"/>
      <c r="W171" s="34"/>
    </row>
    <row r="172" spans="1:23" ht="16" x14ac:dyDescent="0.2">
      <c r="A172" s="2" t="s">
        <v>65</v>
      </c>
      <c r="B172" s="5">
        <v>2014</v>
      </c>
      <c r="C172" s="4">
        <v>5.944794222940792</v>
      </c>
      <c r="D172" s="4">
        <v>4.8232585234916536</v>
      </c>
      <c r="E172" s="9">
        <v>-3.5537473295871334E-2</v>
      </c>
      <c r="F172" s="4">
        <v>1.1247</v>
      </c>
      <c r="G172" s="4">
        <v>895.4</v>
      </c>
      <c r="H172" s="7">
        <v>4.7717114038988058</v>
      </c>
      <c r="I172" s="4">
        <v>34452.570795799998</v>
      </c>
      <c r="J172" s="4">
        <v>2.0099999999999998</v>
      </c>
      <c r="K172" s="4">
        <v>52.1312</v>
      </c>
      <c r="L172" s="7">
        <v>0</v>
      </c>
      <c r="M172" s="4">
        <v>11.462999999999999</v>
      </c>
      <c r="N172" s="4">
        <v>10.732490840226703</v>
      </c>
      <c r="O172" s="4">
        <v>0.01</v>
      </c>
      <c r="P172" s="7">
        <v>7.7039446946686641E-4</v>
      </c>
      <c r="Q172" s="4">
        <v>1.2111345270230851</v>
      </c>
      <c r="R172" s="3">
        <v>1.4152330326085276E-2</v>
      </c>
      <c r="S172" s="33">
        <v>4.5749844464168611E-2</v>
      </c>
      <c r="T172" s="5">
        <v>47.6</v>
      </c>
      <c r="U172" s="34">
        <v>3.642151666666666E-2</v>
      </c>
      <c r="V172">
        <v>3.2728597464304698</v>
      </c>
      <c r="W172" s="34"/>
    </row>
    <row r="173" spans="1:23" ht="16" x14ac:dyDescent="0.2">
      <c r="A173" s="2" t="s">
        <v>65</v>
      </c>
      <c r="B173" s="5">
        <v>2015</v>
      </c>
      <c r="C173" s="4">
        <v>5.5063746304600008</v>
      </c>
      <c r="D173" s="4">
        <v>2.5222736720195424</v>
      </c>
      <c r="E173" s="9">
        <v>-1.0460282014612535E-2</v>
      </c>
      <c r="F173" s="4">
        <v>1.1009</v>
      </c>
      <c r="G173" s="4">
        <v>741.35</v>
      </c>
      <c r="H173" s="7">
        <v>-17.204601295510383</v>
      </c>
      <c r="I173" s="4">
        <v>38128.961497799995</v>
      </c>
      <c r="J173" s="4">
        <v>1.97</v>
      </c>
      <c r="K173" s="4">
        <v>52.246499999999997</v>
      </c>
      <c r="L173" s="7">
        <v>0</v>
      </c>
      <c r="M173" s="4">
        <v>20.507000000000001</v>
      </c>
      <c r="N173" s="4">
        <v>10.81504146336624</v>
      </c>
      <c r="O173" s="4">
        <v>0.02</v>
      </c>
      <c r="P173" s="7">
        <v>1.0027385614005257E-3</v>
      </c>
      <c r="Q173" s="4">
        <v>1.4726831642073022</v>
      </c>
      <c r="R173" s="3">
        <v>8.0264375767751771E-3</v>
      </c>
      <c r="S173" s="33">
        <v>-0.10859218146637346</v>
      </c>
      <c r="T173" s="5">
        <v>49.2</v>
      </c>
      <c r="U173" s="34">
        <v>0.13826017499999999</v>
      </c>
      <c r="V173">
        <v>3.9055002630276801</v>
      </c>
      <c r="W173" s="34"/>
    </row>
    <row r="174" spans="1:23" ht="16" x14ac:dyDescent="0.2">
      <c r="A174" s="2" t="s">
        <v>65</v>
      </c>
      <c r="B174" s="5">
        <v>2016</v>
      </c>
      <c r="C174" s="4">
        <v>5.2337263492494053</v>
      </c>
      <c r="D174" s="4">
        <v>17.651966496352337</v>
      </c>
      <c r="E174" s="9">
        <v>-0.16217159695376457</v>
      </c>
      <c r="F174" s="4">
        <v>1.1034999999999999</v>
      </c>
      <c r="G174" s="4">
        <v>881.65</v>
      </c>
      <c r="H174" s="7">
        <v>18.924934241586289</v>
      </c>
      <c r="I174" s="4">
        <v>38945.849551500003</v>
      </c>
      <c r="J174" s="4">
        <v>1.89</v>
      </c>
      <c r="K174" s="4">
        <v>51.598300000000002</v>
      </c>
      <c r="L174" s="7">
        <v>0</v>
      </c>
      <c r="M174" s="4">
        <v>17.801300000000001</v>
      </c>
      <c r="N174" s="4">
        <v>10.927316972128045</v>
      </c>
      <c r="O174" s="4">
        <v>0.01</v>
      </c>
      <c r="P174" s="7">
        <v>8.2260626919014243E-4</v>
      </c>
      <c r="Q174" s="4">
        <v>1.4076449214807134</v>
      </c>
      <c r="R174" s="3">
        <v>8.6791672633876205E-3</v>
      </c>
      <c r="S174" s="33">
        <v>-3.3001487623251439E-4</v>
      </c>
      <c r="T174" s="5">
        <v>51.5</v>
      </c>
      <c r="U174" s="34">
        <v>8.0427099999999987E-2</v>
      </c>
      <c r="V174">
        <v>4.14830066287879</v>
      </c>
      <c r="W174" s="34"/>
    </row>
    <row r="175" spans="1:23" ht="16" x14ac:dyDescent="0.2">
      <c r="A175" s="2" t="s">
        <v>65</v>
      </c>
      <c r="B175" s="5">
        <v>2017</v>
      </c>
      <c r="C175" s="4">
        <v>5.225658989993148</v>
      </c>
      <c r="D175" s="4">
        <v>-0.46023677712525446</v>
      </c>
      <c r="E175" s="9">
        <v>1.5231446344833697E-2</v>
      </c>
      <c r="F175" s="4">
        <v>1.1020000000000001</v>
      </c>
      <c r="G175" s="4">
        <v>942.16</v>
      </c>
      <c r="H175" s="7">
        <v>6.8632677366301813</v>
      </c>
      <c r="I175" s="4">
        <v>39825.287785799999</v>
      </c>
      <c r="J175" s="4">
        <v>2.06</v>
      </c>
      <c r="K175" s="4">
        <v>54.989100000000001</v>
      </c>
      <c r="L175" s="7">
        <v>0</v>
      </c>
      <c r="M175" s="4">
        <v>28.7667</v>
      </c>
      <c r="N175" s="4">
        <v>10.963755919556919</v>
      </c>
      <c r="O175" s="4">
        <v>1.3412286426142792E-2</v>
      </c>
      <c r="P175" s="7">
        <v>1.0286976511091907E-3</v>
      </c>
      <c r="Q175" s="4">
        <v>1.3645541715273972</v>
      </c>
      <c r="R175" s="3">
        <v>9.2408026847213658E-3</v>
      </c>
      <c r="S175" s="33">
        <v>5.9264581238536021E-2</v>
      </c>
      <c r="T175" s="5">
        <v>51.9</v>
      </c>
      <c r="U175" s="34">
        <v>7.8288908333333337E-2</v>
      </c>
      <c r="V175">
        <v>4.3004408776112397</v>
      </c>
      <c r="W175" s="34"/>
    </row>
    <row r="176" spans="1:23" ht="16" x14ac:dyDescent="0.2">
      <c r="A176" s="2" t="s">
        <v>65</v>
      </c>
      <c r="B176" s="5">
        <v>2018</v>
      </c>
      <c r="C176" s="4">
        <v>5.1024151355452929</v>
      </c>
      <c r="D176" s="4">
        <v>1.5204195401868874</v>
      </c>
      <c r="E176" s="9">
        <v>-2.8915858252043014E-4</v>
      </c>
      <c r="F176" s="4">
        <v>1.0571999999999999</v>
      </c>
      <c r="G176" s="4">
        <v>834.38</v>
      </c>
      <c r="H176" s="7">
        <v>-11.439670544281224</v>
      </c>
      <c r="I176" s="4">
        <v>42595.983924599997</v>
      </c>
      <c r="J176" s="4">
        <v>2.2336</v>
      </c>
      <c r="K176" s="4">
        <v>51.4315</v>
      </c>
      <c r="L176" s="7">
        <v>0</v>
      </c>
      <c r="M176" s="4">
        <v>25.5808</v>
      </c>
      <c r="N176" s="4">
        <v>11.065680606965518</v>
      </c>
      <c r="O176" s="4">
        <v>1.6993726219397581E-2</v>
      </c>
      <c r="P176" s="7">
        <v>3.3469540286323781E-4</v>
      </c>
      <c r="Q176" s="4">
        <v>1.4871062287117534</v>
      </c>
      <c r="R176" s="3">
        <v>8.4381101757126358E-3</v>
      </c>
      <c r="S176" s="33">
        <v>0.12434534107537239</v>
      </c>
      <c r="T176" s="5">
        <v>53.5</v>
      </c>
      <c r="U176" s="34">
        <v>6.7443749999999997E-2</v>
      </c>
      <c r="V176">
        <v>4.0351301370680597</v>
      </c>
      <c r="W176" s="34"/>
    </row>
    <row r="177" spans="1:23" ht="16" x14ac:dyDescent="0.2">
      <c r="A177" s="2" t="s">
        <v>65</v>
      </c>
      <c r="B177" s="5">
        <v>2019</v>
      </c>
      <c r="C177" s="4">
        <v>5.0070697104483024</v>
      </c>
      <c r="D177" s="4">
        <v>-381.94211133917696</v>
      </c>
      <c r="E177" s="9">
        <v>3.8686178459203031</v>
      </c>
      <c r="F177" s="4">
        <v>1.0788</v>
      </c>
      <c r="G177" s="4">
        <v>1565.44</v>
      </c>
      <c r="H177" s="7">
        <v>87.617152856012865</v>
      </c>
      <c r="I177" s="4">
        <v>43300.589561199995</v>
      </c>
      <c r="J177" s="4">
        <v>2.0299999999999998</v>
      </c>
      <c r="K177" s="4">
        <v>51.3172</v>
      </c>
      <c r="L177" s="7">
        <v>0</v>
      </c>
      <c r="M177" s="4">
        <v>55.727499999999999</v>
      </c>
      <c r="N177" s="4">
        <v>11.121271571437068</v>
      </c>
      <c r="O177" s="4">
        <v>1.4961919875348761E-2</v>
      </c>
      <c r="P177" s="7">
        <v>1.4912609886924249E-3</v>
      </c>
      <c r="Q177" s="4">
        <v>1.477598608635905</v>
      </c>
      <c r="R177" s="3">
        <v>1.0593821107569904E-2</v>
      </c>
      <c r="S177" s="33">
        <v>1.7806883043984915E-2</v>
      </c>
      <c r="T177" s="5">
        <v>51.6</v>
      </c>
      <c r="U177" s="34">
        <v>3.4638733333333338E-2</v>
      </c>
      <c r="V177">
        <v>4.1424697356973104</v>
      </c>
      <c r="W177" s="34"/>
    </row>
    <row r="178" spans="1:23" ht="16" x14ac:dyDescent="0.2">
      <c r="A178" s="2" t="s">
        <v>65</v>
      </c>
      <c r="B178" s="5">
        <v>2020</v>
      </c>
      <c r="C178" s="4">
        <v>4.2348114440202744</v>
      </c>
      <c r="D178" s="4">
        <v>-3.117898850396517</v>
      </c>
      <c r="E178" s="9">
        <v>5.3683186960567536E-2</v>
      </c>
      <c r="F178" s="4">
        <v>1.0642</v>
      </c>
      <c r="G178" s="4">
        <v>2131.36</v>
      </c>
      <c r="H178" s="7">
        <v>36.150858544562553</v>
      </c>
      <c r="I178" s="4">
        <v>37325.974702200001</v>
      </c>
      <c r="J178" s="4">
        <v>2.16</v>
      </c>
      <c r="K178" s="4">
        <v>51.348700000000001</v>
      </c>
      <c r="L178" s="7">
        <v>1</v>
      </c>
      <c r="M178" s="4">
        <v>56.5792</v>
      </c>
      <c r="N178" s="4">
        <v>11.220391936547351</v>
      </c>
      <c r="O178" s="4">
        <v>1.6690367504963617E-2</v>
      </c>
      <c r="P178" s="7">
        <v>1.7255511614597915E-2</v>
      </c>
      <c r="Q178" s="4">
        <v>1.2279060745103827</v>
      </c>
      <c r="R178" s="3">
        <v>1.0885197849728539E-2</v>
      </c>
      <c r="S178" s="33">
        <v>-7.6232140578039884E-2</v>
      </c>
      <c r="T178" s="5">
        <v>52.4</v>
      </c>
      <c r="U178" s="34">
        <v>0.14886964166666666</v>
      </c>
      <c r="V178">
        <v>4.2034819485188404</v>
      </c>
    </row>
    <row r="179" spans="1:23" ht="16" x14ac:dyDescent="0.2">
      <c r="A179" s="2" t="s">
        <v>65</v>
      </c>
      <c r="B179" s="5">
        <v>2021</v>
      </c>
      <c r="C179" s="4">
        <v>3.7119838158876628</v>
      </c>
      <c r="D179" s="4">
        <v>0.45917775454191789</v>
      </c>
      <c r="E179" s="9">
        <v>9.8516238588058826E-3</v>
      </c>
      <c r="F179" s="4">
        <v>1.0175000000000001</v>
      </c>
      <c r="G179" s="4">
        <v>1815.85</v>
      </c>
      <c r="H179" s="7">
        <v>-14.803224232414994</v>
      </c>
      <c r="I179" s="4">
        <v>56838.771347400005</v>
      </c>
      <c r="J179" s="4">
        <v>2.5</v>
      </c>
      <c r="K179" s="4">
        <v>55.008099999999999</v>
      </c>
      <c r="L179" s="7">
        <v>1</v>
      </c>
      <c r="M179" s="4">
        <v>36.537999999999997</v>
      </c>
      <c r="N179" s="4">
        <v>11.291732684664373</v>
      </c>
      <c r="O179" s="4">
        <v>1.7967016131231629E-2</v>
      </c>
      <c r="P179" s="7">
        <v>1.5543398793760394E-2</v>
      </c>
      <c r="Q179" s="4">
        <v>1.030952968613841</v>
      </c>
      <c r="R179" s="3">
        <v>8.7352463453695562E-3</v>
      </c>
      <c r="S179" s="33">
        <v>0.10565502625103547</v>
      </c>
      <c r="T179" s="5">
        <v>52.8</v>
      </c>
      <c r="U179" s="34">
        <v>0.22783804166666666</v>
      </c>
      <c r="V179">
        <v>4.1432975981772104</v>
      </c>
      <c r="W179" s="34"/>
    </row>
    <row r="180" spans="1:23" ht="16" x14ac:dyDescent="0.2">
      <c r="A180" s="2" t="s">
        <v>65</v>
      </c>
      <c r="B180" s="5">
        <v>2022</v>
      </c>
      <c r="C180" s="4">
        <v>3.1523745845995625</v>
      </c>
      <c r="D180" s="4">
        <v>3.3017443648394407</v>
      </c>
      <c r="E180" s="9">
        <v>-1.9593467034710391E-2</v>
      </c>
      <c r="F180" s="4">
        <v>0.99250000000000005</v>
      </c>
      <c r="G180" s="4">
        <v>1760.55</v>
      </c>
      <c r="H180" s="7">
        <v>-3.0454057328523807</v>
      </c>
      <c r="I180" s="4">
        <v>83526.113361600001</v>
      </c>
      <c r="J180" s="4">
        <v>2.4632999999999998</v>
      </c>
      <c r="K180" s="4">
        <v>56.965699999999998</v>
      </c>
      <c r="L180" s="7">
        <v>1</v>
      </c>
      <c r="M180" s="4">
        <v>37.375300000000003</v>
      </c>
      <c r="N180" s="4">
        <v>11.405915489701542</v>
      </c>
      <c r="O180" s="4">
        <v>1.576939211766511E-2</v>
      </c>
      <c r="P180" s="7">
        <v>1.8008568811146538E-2</v>
      </c>
      <c r="Q180" s="4">
        <v>1.2556153890288126</v>
      </c>
      <c r="R180" s="3">
        <v>8.7643181843892054E-3</v>
      </c>
      <c r="S180" s="33">
        <v>8.9347299498855171E-2</v>
      </c>
      <c r="T180" s="5">
        <v>53</v>
      </c>
      <c r="U180" s="34">
        <v>0.18707895833333332</v>
      </c>
      <c r="V180">
        <v>4.4010763454007202</v>
      </c>
      <c r="W180" s="34"/>
    </row>
    <row r="181" spans="1:23" x14ac:dyDescent="0.2">
      <c r="A181" s="2" t="s">
        <v>90</v>
      </c>
      <c r="C181" s="4"/>
      <c r="D181" s="4"/>
      <c r="E181" s="6"/>
      <c r="F181" s="4"/>
      <c r="G181" s="4"/>
      <c r="I181" s="4"/>
      <c r="J181" s="4"/>
      <c r="K181" s="4"/>
      <c r="L181" s="7"/>
      <c r="M181" s="4"/>
      <c r="N181" s="4"/>
      <c r="O181" s="4"/>
      <c r="Q181" s="4"/>
      <c r="R181" s="3"/>
      <c r="W181" s="34"/>
    </row>
    <row r="182" spans="1:23" ht="16" x14ac:dyDescent="0.2">
      <c r="A182" s="2" t="s">
        <v>86</v>
      </c>
      <c r="B182" s="5">
        <v>2014</v>
      </c>
      <c r="C182" s="4">
        <v>8.2002572914962251</v>
      </c>
      <c r="D182" s="4">
        <v>0.83001724869229399</v>
      </c>
      <c r="E182" s="13">
        <v>7.6483696309180204E-3</v>
      </c>
      <c r="F182" s="4">
        <v>1.0078</v>
      </c>
      <c r="G182" s="4">
        <v>2529568</v>
      </c>
      <c r="H182" s="7">
        <v>15.061429643612545</v>
      </c>
      <c r="I182" s="4">
        <v>2005732.8199999998</v>
      </c>
      <c r="J182" s="4">
        <v>2.6587999999999998</v>
      </c>
      <c r="K182" s="4">
        <v>34.5002</v>
      </c>
      <c r="L182" s="7">
        <v>1</v>
      </c>
      <c r="M182" s="4">
        <v>143.13480000000001</v>
      </c>
      <c r="N182" s="4">
        <v>15.015535580042112</v>
      </c>
      <c r="O182" s="4">
        <v>2.3360803524179474E-2</v>
      </c>
      <c r="P182" s="7">
        <v>4.8299849795290214E-2</v>
      </c>
      <c r="Q182" s="4">
        <v>0.99138139614693033</v>
      </c>
      <c r="R182" s="3">
        <v>7.0084428055532172E-3</v>
      </c>
      <c r="S182" s="33">
        <v>9.457781607341903E-2</v>
      </c>
      <c r="T182" s="5">
        <v>99.9</v>
      </c>
      <c r="U182" s="34">
        <v>0.12046267500000001</v>
      </c>
      <c r="V182">
        <v>6.1434340944886703</v>
      </c>
      <c r="W182" s="34"/>
    </row>
    <row r="183" spans="1:23" ht="16" x14ac:dyDescent="0.2">
      <c r="A183" s="2" t="s">
        <v>86</v>
      </c>
      <c r="B183" s="5">
        <v>2015</v>
      </c>
      <c r="C183" s="4">
        <v>7.6724455758635024</v>
      </c>
      <c r="D183" s="4">
        <v>0.96987149314077203</v>
      </c>
      <c r="E183" s="13">
        <v>1.4799435318231149E-2</v>
      </c>
      <c r="F183" s="4">
        <v>0.99390000000000001</v>
      </c>
      <c r="G183" s="4">
        <v>5881704</v>
      </c>
      <c r="H183" s="7">
        <v>132.51812167136839</v>
      </c>
      <c r="I183" s="4">
        <v>2767215.0500000003</v>
      </c>
      <c r="J183" s="4">
        <v>2.4721000000000002</v>
      </c>
      <c r="K183" s="4">
        <v>33.170999999999999</v>
      </c>
      <c r="L183" s="7">
        <v>1</v>
      </c>
      <c r="M183" s="4">
        <v>161.61359999999999</v>
      </c>
      <c r="N183" s="4">
        <v>15.046173977543255</v>
      </c>
      <c r="O183" s="4">
        <v>2.3517658167980428E-2</v>
      </c>
      <c r="P183" s="7">
        <v>6.496933864880898E-2</v>
      </c>
      <c r="Q183" s="4">
        <v>1.0083318323033728</v>
      </c>
      <c r="R183" s="3">
        <v>7.2477701267423863E-3</v>
      </c>
      <c r="S183" s="33">
        <v>5.5934460075526035E-2</v>
      </c>
      <c r="T183" s="5">
        <v>40.6</v>
      </c>
      <c r="U183" s="34">
        <v>0.11306368333333332</v>
      </c>
      <c r="V183">
        <v>6.22748867298455</v>
      </c>
      <c r="W183" s="34"/>
    </row>
    <row r="184" spans="1:23" ht="16" x14ac:dyDescent="0.2">
      <c r="A184" s="2" t="s">
        <v>86</v>
      </c>
      <c r="B184" s="5">
        <v>2016</v>
      </c>
      <c r="C184" s="4">
        <v>7.1554257536039207</v>
      </c>
      <c r="D184" s="4">
        <v>8.2474686663367731E-3</v>
      </c>
      <c r="E184" s="13">
        <v>9.5372704521001737E-3</v>
      </c>
      <c r="F184" s="4">
        <v>0.98619999999999997</v>
      </c>
      <c r="G184" s="4">
        <v>6062319</v>
      </c>
      <c r="H184" s="7">
        <v>3.0707937699687027</v>
      </c>
      <c r="I184" s="4">
        <v>3052032.75</v>
      </c>
      <c r="J184" s="4">
        <v>2.1619000000000002</v>
      </c>
      <c r="K184" s="4">
        <v>30.304600000000001</v>
      </c>
      <c r="L184" s="7">
        <v>1</v>
      </c>
      <c r="M184" s="4">
        <v>149.6387</v>
      </c>
      <c r="N184" s="4">
        <v>15.061996725639442</v>
      </c>
      <c r="O184" s="4">
        <v>2.2172856710071749E-2</v>
      </c>
      <c r="P184" s="7">
        <v>4.9202750447352075E-2</v>
      </c>
      <c r="Q184" s="4">
        <v>0.88621057741291498</v>
      </c>
      <c r="R184" s="3">
        <v>7.2364181680543401E-3</v>
      </c>
      <c r="S184" s="33">
        <v>1.5525894567969992E-2</v>
      </c>
      <c r="T184" s="5">
        <v>40.6</v>
      </c>
      <c r="U184" s="34">
        <v>0.10788815833333336</v>
      </c>
      <c r="V184">
        <v>6.6444778294468003</v>
      </c>
      <c r="W184" s="34"/>
    </row>
    <row r="185" spans="1:23" ht="16" x14ac:dyDescent="0.2">
      <c r="A185" s="2" t="s">
        <v>86</v>
      </c>
      <c r="B185" s="5">
        <v>2017</v>
      </c>
      <c r="C185" s="4">
        <v>6.811776310417109</v>
      </c>
      <c r="D185" s="4">
        <v>1.8844375608238506</v>
      </c>
      <c r="E185" s="13">
        <v>-8.2772879887005341E-3</v>
      </c>
      <c r="F185" s="4">
        <v>1.0065</v>
      </c>
      <c r="G185" s="4">
        <v>6462553</v>
      </c>
      <c r="H185" s="7">
        <v>6.6019950451304199</v>
      </c>
      <c r="I185" s="4">
        <v>3396278.0299999993</v>
      </c>
      <c r="J185" s="4">
        <v>2.2263000000000002</v>
      </c>
      <c r="K185" s="4">
        <v>28.082899999999999</v>
      </c>
      <c r="L185" s="7">
        <v>1</v>
      </c>
      <c r="M185" s="4">
        <v>153.20869999999999</v>
      </c>
      <c r="N185" s="4">
        <v>15.204127220453733</v>
      </c>
      <c r="O185" s="4">
        <v>2.3921329462857143E-2</v>
      </c>
      <c r="P185" s="7">
        <v>5.8248979724291571E-2</v>
      </c>
      <c r="Q185" s="4">
        <v>0.93869076019481179</v>
      </c>
      <c r="R185" s="3">
        <v>7.3041154102016408E-3</v>
      </c>
      <c r="S185" s="33">
        <v>9.5891306540979396E-2</v>
      </c>
      <c r="T185" s="5">
        <v>39.299999999999997</v>
      </c>
      <c r="U185" s="34">
        <v>0.10495592499999999</v>
      </c>
      <c r="V185">
        <v>6.7587550863359702</v>
      </c>
      <c r="W185" s="34"/>
    </row>
    <row r="186" spans="1:23" ht="16" x14ac:dyDescent="0.2">
      <c r="A186" s="2" t="s">
        <v>86</v>
      </c>
      <c r="B186" s="5">
        <v>2018</v>
      </c>
      <c r="C186" s="4">
        <v>6.6465595922892531</v>
      </c>
      <c r="D186" s="4">
        <v>1.6349483762882351</v>
      </c>
      <c r="E186" s="13">
        <v>1.8453485997913077E-4</v>
      </c>
      <c r="F186" s="4">
        <v>0.9859</v>
      </c>
      <c r="G186" s="4">
        <v>8857313</v>
      </c>
      <c r="H186" s="7">
        <v>37.055943680461887</v>
      </c>
      <c r="I186" s="4">
        <v>3417714.9</v>
      </c>
      <c r="J186" s="4">
        <v>2.3031000000000001</v>
      </c>
      <c r="K186" s="4">
        <v>28.7469</v>
      </c>
      <c r="L186" s="7">
        <v>1</v>
      </c>
      <c r="M186" s="4">
        <v>125.7043</v>
      </c>
      <c r="N186" s="4">
        <v>15.208532239833591</v>
      </c>
      <c r="O186" s="4">
        <v>2.6765569185475957E-2</v>
      </c>
      <c r="P186" s="7">
        <v>5.448408561974117E-2</v>
      </c>
      <c r="Q186" s="4">
        <v>1.0169282259575672</v>
      </c>
      <c r="R186" s="3">
        <v>7.0896170356171831E-3</v>
      </c>
      <c r="S186" s="33">
        <v>0.12870455661971003</v>
      </c>
      <c r="T186" s="5">
        <v>37.9</v>
      </c>
      <c r="U186" s="34">
        <v>0.14311219999999999</v>
      </c>
      <c r="V186">
        <v>6.6159571773543897</v>
      </c>
      <c r="W186" s="34"/>
    </row>
    <row r="187" spans="1:23" ht="16" x14ac:dyDescent="0.2">
      <c r="A187" s="2" t="s">
        <v>86</v>
      </c>
      <c r="B187" s="5">
        <v>2019</v>
      </c>
      <c r="C187" s="4">
        <v>6.5241362431012027</v>
      </c>
      <c r="D187" s="4">
        <v>0.59096518884844895</v>
      </c>
      <c r="E187" s="13">
        <v>4.2630684248725322E-3</v>
      </c>
      <c r="F187" s="4">
        <v>0.98609999999999998</v>
      </c>
      <c r="G187" s="4">
        <v>7887725</v>
      </c>
      <c r="H187" s="7">
        <v>-10.94675100676695</v>
      </c>
      <c r="I187" s="4">
        <v>3449254.8</v>
      </c>
      <c r="J187" s="4">
        <v>2.3081999999999998</v>
      </c>
      <c r="K187" s="4">
        <v>28.946400000000001</v>
      </c>
      <c r="L187" s="7">
        <v>1</v>
      </c>
      <c r="M187" s="4">
        <v>122.70650000000001</v>
      </c>
      <c r="N187" s="4">
        <v>15.279691457741237</v>
      </c>
      <c r="O187" s="4">
        <v>2.854727447966433E-2</v>
      </c>
      <c r="P187" s="7">
        <v>4.8194420077195446E-2</v>
      </c>
      <c r="Q187" s="4">
        <v>1.1077892156499547</v>
      </c>
      <c r="R187" s="3">
        <v>7.1835428705333219E-3</v>
      </c>
      <c r="S187" s="33">
        <v>2.7712383170145276E-2</v>
      </c>
      <c r="T187" s="5">
        <v>37.700000000000003</v>
      </c>
      <c r="U187" s="34">
        <v>0.29669430000000002</v>
      </c>
      <c r="V187">
        <v>6.9083850099290096</v>
      </c>
      <c r="W187" s="34"/>
    </row>
    <row r="188" spans="1:23" ht="16" x14ac:dyDescent="0.2">
      <c r="A188" s="2" t="s">
        <v>86</v>
      </c>
      <c r="B188" s="5">
        <v>2020</v>
      </c>
      <c r="C188" s="4">
        <v>6.0407911564555166</v>
      </c>
      <c r="D188" s="4">
        <v>-30.207280831188005</v>
      </c>
      <c r="E188" s="13">
        <v>0.31674707047464962</v>
      </c>
      <c r="F188" s="4">
        <v>0.97140000000000004</v>
      </c>
      <c r="G188" s="4">
        <v>8784445</v>
      </c>
      <c r="H188" s="7">
        <v>11.368550500936582</v>
      </c>
      <c r="I188" s="4">
        <v>4503741.7600000007</v>
      </c>
      <c r="J188" s="4">
        <v>2.1597</v>
      </c>
      <c r="K188" s="4">
        <v>29.6751</v>
      </c>
      <c r="L188" s="7">
        <v>1</v>
      </c>
      <c r="M188" s="4">
        <v>136.12639999999999</v>
      </c>
      <c r="N188" s="4">
        <v>15.446435952039797</v>
      </c>
      <c r="O188" s="4">
        <v>2.847392065327866E-2</v>
      </c>
      <c r="P188" s="7">
        <v>5.3692062611412433E-2</v>
      </c>
      <c r="Q188" s="4">
        <v>1.1405601525602409</v>
      </c>
      <c r="R188" s="3">
        <v>7.3120884191125229E-3</v>
      </c>
      <c r="S188" s="33">
        <v>2.8555740275520065E-2</v>
      </c>
      <c r="T188" s="5">
        <v>37.9</v>
      </c>
      <c r="U188" s="34">
        <v>0.27519169999999998</v>
      </c>
      <c r="V188">
        <v>6.9007672694492497</v>
      </c>
      <c r="W188" s="34"/>
    </row>
    <row r="189" spans="1:23" ht="16" x14ac:dyDescent="0.2">
      <c r="A189" s="2" t="s">
        <v>86</v>
      </c>
      <c r="B189" s="5">
        <v>2021</v>
      </c>
      <c r="C189" s="4">
        <v>6.191216197223893</v>
      </c>
      <c r="D189" s="4">
        <v>-0.328882226547006</v>
      </c>
      <c r="E189" s="13">
        <v>1.2171874883501972E-2</v>
      </c>
      <c r="F189" s="4">
        <v>0.96179999999999999</v>
      </c>
      <c r="G189" s="4">
        <v>8100994</v>
      </c>
      <c r="H189" s="7">
        <v>-7.7802410966202187</v>
      </c>
      <c r="I189" s="4">
        <v>4616599.05</v>
      </c>
      <c r="J189" s="4">
        <v>2.1433</v>
      </c>
      <c r="K189" s="4">
        <v>31.431000000000001</v>
      </c>
      <c r="L189" s="7">
        <v>1</v>
      </c>
      <c r="M189" s="4">
        <v>126.598</v>
      </c>
      <c r="N189" s="4">
        <v>15.526331084686976</v>
      </c>
      <c r="O189" s="4">
        <v>2.9213216539549759E-2</v>
      </c>
      <c r="P189" s="7">
        <v>4.0825009248982608E-2</v>
      </c>
      <c r="Q189" s="4">
        <v>1.1173091974396623</v>
      </c>
      <c r="R189" s="3">
        <v>7.731314195109161E-3</v>
      </c>
      <c r="S189" s="33">
        <v>0.21328775065622899</v>
      </c>
      <c r="T189" s="5">
        <v>38.5</v>
      </c>
      <c r="U189" s="34">
        <v>0.17849286666666667</v>
      </c>
      <c r="V189">
        <v>6.4489751802431599</v>
      </c>
      <c r="W189" s="34"/>
    </row>
    <row r="190" spans="1:23" ht="16" x14ac:dyDescent="0.2">
      <c r="A190" s="2" t="s">
        <v>86</v>
      </c>
      <c r="B190" s="5">
        <v>2022</v>
      </c>
      <c r="C190" s="4">
        <v>5.8728616505122799</v>
      </c>
      <c r="D190" s="4">
        <v>0.3089605517357713</v>
      </c>
      <c r="E190" s="13">
        <v>5.2664719918452466E-3</v>
      </c>
      <c r="F190" s="4">
        <v>0.95799999999999996</v>
      </c>
      <c r="G190" s="4">
        <v>8387877</v>
      </c>
      <c r="H190" s="7">
        <v>3.5413308539668091</v>
      </c>
      <c r="I190" s="4">
        <v>4655451.4399999995</v>
      </c>
      <c r="J190" s="4">
        <v>1.9464999999999999</v>
      </c>
      <c r="K190" s="4">
        <v>33.291699999999999</v>
      </c>
      <c r="L190" s="7">
        <v>1</v>
      </c>
      <c r="M190" s="4">
        <v>137.7603</v>
      </c>
      <c r="N190" s="4">
        <v>15.563283307987216</v>
      </c>
      <c r="O190" s="4">
        <v>2.8962264615841879E-2</v>
      </c>
      <c r="P190" s="7">
        <v>4.8635230784064579E-2</v>
      </c>
      <c r="Q190" s="4">
        <v>1.4030989767993185</v>
      </c>
      <c r="R190" s="3">
        <v>7.6738211078546904E-3</v>
      </c>
      <c r="S190" s="33">
        <v>8.0082772214906672E-3</v>
      </c>
      <c r="T190" s="5">
        <v>38.299999999999997</v>
      </c>
      <c r="U190" s="34">
        <v>0.37974000833333332</v>
      </c>
      <c r="V190">
        <v>6.7371581123711897</v>
      </c>
    </row>
    <row r="191" spans="1:23" x14ac:dyDescent="0.2">
      <c r="C191" s="4"/>
      <c r="D191" s="4"/>
      <c r="E191" s="6"/>
      <c r="F191" s="4"/>
      <c r="G191" s="4"/>
      <c r="I191" s="4"/>
      <c r="J191" s="4"/>
      <c r="K191" s="4"/>
      <c r="L191" s="7"/>
      <c r="M191" s="4"/>
      <c r="N191" s="4"/>
      <c r="O191" s="4"/>
      <c r="Q191" s="4"/>
      <c r="R191" s="3"/>
      <c r="W191" s="34"/>
    </row>
    <row r="192" spans="1:23" ht="16" x14ac:dyDescent="0.2">
      <c r="A192" s="2" t="s">
        <v>66</v>
      </c>
      <c r="B192" s="5">
        <v>2014</v>
      </c>
      <c r="C192" s="4">
        <v>8.7726789645493053</v>
      </c>
      <c r="D192" s="4">
        <v>-2.1898488825485041</v>
      </c>
      <c r="E192" s="13">
        <v>3.5832561844024377E-2</v>
      </c>
      <c r="F192" s="4">
        <v>1.0123</v>
      </c>
      <c r="G192" s="4">
        <v>1039929</v>
      </c>
      <c r="H192" s="7">
        <v>25.887202208018596</v>
      </c>
      <c r="I192" s="4">
        <v>2013170.82</v>
      </c>
      <c r="J192" s="4">
        <v>2.9249999999999998</v>
      </c>
      <c r="K192" s="4">
        <v>43.153599999999997</v>
      </c>
      <c r="L192" s="7">
        <v>1</v>
      </c>
      <c r="M192" s="4">
        <v>143.75210000000001</v>
      </c>
      <c r="N192" s="4">
        <v>14.760738539733026</v>
      </c>
      <c r="O192" s="4">
        <v>4.4216263835658437E-2</v>
      </c>
      <c r="P192" s="7">
        <v>4.6269965427938937E-2</v>
      </c>
      <c r="Q192" s="4">
        <v>1.1599133729144753</v>
      </c>
      <c r="R192" s="3">
        <v>6.3933525825055453E-3</v>
      </c>
      <c r="S192" s="33">
        <v>9.457781607341903E-2</v>
      </c>
      <c r="T192" s="5">
        <v>99.9</v>
      </c>
      <c r="U192" s="34">
        <v>0.12046267500000001</v>
      </c>
      <c r="V192">
        <v>6.1434340944886703</v>
      </c>
      <c r="W192" s="34"/>
    </row>
    <row r="193" spans="1:23" ht="16" x14ac:dyDescent="0.2">
      <c r="A193" s="2" t="s">
        <v>66</v>
      </c>
      <c r="B193" s="5">
        <v>2015</v>
      </c>
      <c r="C193" s="4">
        <v>8.0487700607387964</v>
      </c>
      <c r="D193" s="4">
        <v>2.6065962762169699</v>
      </c>
      <c r="E193" s="13">
        <v>-1.0824559963961583E-2</v>
      </c>
      <c r="F193" s="4">
        <v>0.99439999999999995</v>
      </c>
      <c r="G193" s="4">
        <v>1520823</v>
      </c>
      <c r="H193" s="7">
        <v>46.24296466393379</v>
      </c>
      <c r="I193" s="4">
        <v>3281281.5999999996</v>
      </c>
      <c r="J193" s="4">
        <v>2.6621000000000001</v>
      </c>
      <c r="K193" s="4">
        <v>41.974299999999999</v>
      </c>
      <c r="L193" s="7">
        <v>1</v>
      </c>
      <c r="M193" s="4">
        <v>157.57060000000001</v>
      </c>
      <c r="N193" s="4">
        <v>14.824344007385598</v>
      </c>
      <c r="O193" s="4">
        <v>4.5257694116790446E-2</v>
      </c>
      <c r="P193" s="7">
        <v>4.6254035844965929E-2</v>
      </c>
      <c r="Q193" s="4">
        <v>1.2546042811160127</v>
      </c>
      <c r="R193" s="3">
        <v>6.4929038247568439E-3</v>
      </c>
      <c r="S193" s="33">
        <v>5.5934460075526035E-2</v>
      </c>
      <c r="T193" s="5">
        <v>40.6</v>
      </c>
      <c r="U193" s="34">
        <v>0.11306368333333332</v>
      </c>
      <c r="V193">
        <v>6.22748867298455</v>
      </c>
      <c r="W193" s="34"/>
    </row>
    <row r="194" spans="1:23" ht="16" x14ac:dyDescent="0.2">
      <c r="A194" s="2" t="s">
        <v>66</v>
      </c>
      <c r="B194" s="5">
        <v>2016</v>
      </c>
      <c r="C194" s="4">
        <v>7.4440068480744994</v>
      </c>
      <c r="D194" s="4">
        <v>2.5828005759866124</v>
      </c>
      <c r="E194" s="13">
        <v>-1.197549638168828E-2</v>
      </c>
      <c r="F194" s="4">
        <v>0.98780000000000001</v>
      </c>
      <c r="G194" s="4">
        <v>1854782</v>
      </c>
      <c r="H194" s="7">
        <v>21.959097146742256</v>
      </c>
      <c r="I194" s="4">
        <v>3326190</v>
      </c>
      <c r="J194" s="4">
        <v>2.2504</v>
      </c>
      <c r="K194" s="4">
        <v>39.481999999999999</v>
      </c>
      <c r="L194" s="7">
        <v>1</v>
      </c>
      <c r="M194" s="4">
        <v>164.5411</v>
      </c>
      <c r="N194" s="4">
        <v>14.852247442914296</v>
      </c>
      <c r="O194" s="4">
        <v>4.1181640939597315E-2</v>
      </c>
      <c r="P194" s="7">
        <v>4.2231644471656719E-2</v>
      </c>
      <c r="Q194" s="4">
        <v>1.1431962685291073</v>
      </c>
      <c r="R194" s="3">
        <v>6.3844729617570069E-3</v>
      </c>
      <c r="S194" s="33">
        <v>1.5525894567969992E-2</v>
      </c>
      <c r="T194" s="5">
        <v>40.6</v>
      </c>
      <c r="U194" s="34">
        <v>0.10788815833333336</v>
      </c>
      <c r="V194">
        <v>6.6444778294468003</v>
      </c>
      <c r="W194" s="34"/>
    </row>
    <row r="195" spans="1:23" ht="16" x14ac:dyDescent="0.2">
      <c r="A195" s="2" t="s">
        <v>66</v>
      </c>
      <c r="B195" s="5">
        <v>2017</v>
      </c>
      <c r="C195" s="4">
        <v>7.2010919179857042</v>
      </c>
      <c r="D195" s="4">
        <v>0.39245496312433947</v>
      </c>
      <c r="E195" s="13">
        <v>7.2537511885718839E-3</v>
      </c>
      <c r="F195" s="4">
        <v>0.99399999999999999</v>
      </c>
      <c r="G195" s="4">
        <v>2465643</v>
      </c>
      <c r="H195" s="7">
        <v>32.93438258512321</v>
      </c>
      <c r="I195" s="4">
        <v>2981928.96</v>
      </c>
      <c r="J195" s="4">
        <v>2.2818000000000001</v>
      </c>
      <c r="K195" s="4">
        <v>38.736600000000003</v>
      </c>
      <c r="L195" s="7">
        <v>1</v>
      </c>
      <c r="M195" s="4">
        <v>161.5001</v>
      </c>
      <c r="N195" s="4">
        <v>14.989724940125935</v>
      </c>
      <c r="O195" s="4">
        <v>3.7713008133042E-2</v>
      </c>
      <c r="P195" s="7">
        <v>4.7534067523379971E-2</v>
      </c>
      <c r="Q195" s="4">
        <v>1.134905456839193</v>
      </c>
      <c r="R195" s="3">
        <v>6.5280074242909571E-3</v>
      </c>
      <c r="S195" s="33">
        <v>9.5891306540979396E-2</v>
      </c>
      <c r="T195" s="5">
        <v>39.299999999999997</v>
      </c>
      <c r="U195" s="34">
        <v>0.10495592499999999</v>
      </c>
      <c r="V195">
        <v>6.7587550863359702</v>
      </c>
      <c r="W195" s="34"/>
    </row>
    <row r="196" spans="1:23" ht="16" x14ac:dyDescent="0.2">
      <c r="A196" s="2" t="s">
        <v>66</v>
      </c>
      <c r="B196" s="5">
        <v>2018</v>
      </c>
      <c r="C196" s="4">
        <v>7.0955343880167678</v>
      </c>
      <c r="D196" s="4">
        <v>0.41524958550008068</v>
      </c>
      <c r="E196" s="13">
        <v>1.328778331242292E-2</v>
      </c>
      <c r="F196" s="4">
        <v>0.97629999999999995</v>
      </c>
      <c r="G196" s="4">
        <v>3421072</v>
      </c>
      <c r="H196" s="7">
        <v>38.749689229138198</v>
      </c>
      <c r="I196" s="4">
        <v>2762394.8000000003</v>
      </c>
      <c r="J196" s="4">
        <v>2.3258000000000001</v>
      </c>
      <c r="K196" s="4">
        <v>36.0991</v>
      </c>
      <c r="L196" s="7">
        <v>1</v>
      </c>
      <c r="M196" s="4">
        <v>146.68620000000001</v>
      </c>
      <c r="N196" s="4">
        <v>15.005485852646357</v>
      </c>
      <c r="O196" s="4">
        <v>4.0127924995679479E-2</v>
      </c>
      <c r="P196" s="7">
        <v>4.3265975548496198E-2</v>
      </c>
      <c r="Q196" s="4">
        <v>1.2195823554359957</v>
      </c>
      <c r="R196" s="3">
        <v>6.6935799376149178E-3</v>
      </c>
      <c r="S196" s="33">
        <v>0.12870455661971003</v>
      </c>
      <c r="T196" s="5">
        <v>37.9</v>
      </c>
      <c r="U196" s="34">
        <v>0.14311219999999999</v>
      </c>
      <c r="V196">
        <v>6.6159571773543897</v>
      </c>
      <c r="W196" s="34"/>
    </row>
    <row r="197" spans="1:23" ht="16" x14ac:dyDescent="0.2">
      <c r="A197" s="2" t="s">
        <v>66</v>
      </c>
      <c r="B197" s="5">
        <v>2019</v>
      </c>
      <c r="C197" s="4">
        <v>6.8752728708278257</v>
      </c>
      <c r="D197" s="4">
        <v>0.28615759045182709</v>
      </c>
      <c r="E197" s="13">
        <v>7.0806160508716269E-3</v>
      </c>
      <c r="F197" s="4">
        <v>0.98089999999999999</v>
      </c>
      <c r="G197" s="4">
        <v>3181618</v>
      </c>
      <c r="H197" s="7">
        <v>-6.9993849880972983</v>
      </c>
      <c r="I197" s="4">
        <v>2688381.5</v>
      </c>
      <c r="J197" s="4">
        <v>2.2301000000000002</v>
      </c>
      <c r="K197" s="4">
        <v>36.122300000000003</v>
      </c>
      <c r="L197" s="7">
        <v>1</v>
      </c>
      <c r="M197" s="4">
        <v>145.86349999999999</v>
      </c>
      <c r="N197" s="4">
        <v>15.088804179996922</v>
      </c>
      <c r="O197" s="4">
        <v>4.0460379162974937E-2</v>
      </c>
      <c r="P197" s="7">
        <v>5.8498438948806401E-2</v>
      </c>
      <c r="Q197" s="4">
        <v>1.3967230839674738</v>
      </c>
      <c r="R197" s="3">
        <v>6.8136644342376568E-3</v>
      </c>
      <c r="S197" s="33">
        <v>2.7712383170145276E-2</v>
      </c>
      <c r="T197" s="5">
        <v>37.700000000000003</v>
      </c>
      <c r="U197" s="34">
        <v>0.29669430000000002</v>
      </c>
      <c r="V197">
        <v>6.9083850099290096</v>
      </c>
      <c r="W197" s="34"/>
    </row>
    <row r="198" spans="1:23" ht="16" x14ac:dyDescent="0.2">
      <c r="A198" s="2" t="s">
        <v>66</v>
      </c>
      <c r="B198" s="5">
        <v>2020</v>
      </c>
      <c r="C198" s="4">
        <v>6.4410539967404103</v>
      </c>
      <c r="D198" s="4">
        <v>1.3798766754323781</v>
      </c>
      <c r="E198" s="13">
        <v>4.1449950220833311E-3</v>
      </c>
      <c r="F198" s="4">
        <v>0.97030000000000005</v>
      </c>
      <c r="G198" s="4">
        <v>2989497</v>
      </c>
      <c r="H198" s="7">
        <v>-6.0384684773596327</v>
      </c>
      <c r="I198" s="4">
        <v>3632828.8000000003</v>
      </c>
      <c r="J198" s="4">
        <v>2.1951999999999998</v>
      </c>
      <c r="K198" s="4">
        <v>37.261000000000003</v>
      </c>
      <c r="L198" s="7">
        <v>1</v>
      </c>
      <c r="M198" s="4">
        <v>170.1069</v>
      </c>
      <c r="N198" s="4">
        <v>15.242946862415339</v>
      </c>
      <c r="O198" s="4">
        <v>3.8563089827073176E-2</v>
      </c>
      <c r="P198" s="7">
        <v>4.3177105225255946E-2</v>
      </c>
      <c r="Q198" s="4">
        <v>1.4535642852822697</v>
      </c>
      <c r="R198" s="3">
        <v>7.3383723443683985E-3</v>
      </c>
      <c r="S198" s="33">
        <v>2.8555740275520065E-2</v>
      </c>
      <c r="T198" s="5">
        <v>37.9</v>
      </c>
      <c r="U198" s="34">
        <v>0.27519169999999998</v>
      </c>
      <c r="V198">
        <v>6.9007672694492497</v>
      </c>
      <c r="W198" s="34"/>
    </row>
    <row r="199" spans="1:23" ht="16" x14ac:dyDescent="0.2">
      <c r="A199" s="2" t="s">
        <v>66</v>
      </c>
      <c r="B199" s="5">
        <v>2021</v>
      </c>
      <c r="C199" s="4">
        <v>6.6535406764470579</v>
      </c>
      <c r="D199" s="4">
        <v>-0.89611561458354239</v>
      </c>
      <c r="E199" s="13">
        <v>2.2561757545422959E-2</v>
      </c>
      <c r="F199" s="4">
        <v>0.96389999999999998</v>
      </c>
      <c r="G199" s="4">
        <v>2613456</v>
      </c>
      <c r="H199" s="7">
        <v>-12.578738162306232</v>
      </c>
      <c r="I199" s="4">
        <v>3866809.7</v>
      </c>
      <c r="J199" s="4">
        <v>2.1219999999999999</v>
      </c>
      <c r="K199" s="4">
        <v>35.012700000000002</v>
      </c>
      <c r="L199" s="7">
        <v>1</v>
      </c>
      <c r="M199" s="4">
        <v>163.22110000000001</v>
      </c>
      <c r="N199" s="4">
        <v>15.335767468747132</v>
      </c>
      <c r="O199" s="4">
        <v>3.9755321364985163E-2</v>
      </c>
      <c r="P199" s="7">
        <v>3.866912386171828E-2</v>
      </c>
      <c r="Q199" s="4">
        <v>1.455729968122097</v>
      </c>
      <c r="R199" s="3">
        <v>7.7296425712279366E-3</v>
      </c>
      <c r="S199" s="33">
        <v>0.21328775065622899</v>
      </c>
      <c r="T199" s="5">
        <v>38.5</v>
      </c>
      <c r="U199" s="34">
        <v>0.17849286666666667</v>
      </c>
      <c r="V199">
        <v>6.4489751802431599</v>
      </c>
      <c r="W199" s="34"/>
    </row>
    <row r="200" spans="1:23" ht="16" x14ac:dyDescent="0.2">
      <c r="A200" s="2" t="s">
        <v>66</v>
      </c>
      <c r="B200" s="5">
        <v>2022</v>
      </c>
      <c r="C200" s="4">
        <v>6.3777507122248212</v>
      </c>
      <c r="D200" s="4">
        <v>-6.4156257542694428</v>
      </c>
      <c r="E200" s="13">
        <v>7.745575344547391E-2</v>
      </c>
      <c r="F200" s="4">
        <v>0.96389999999999998</v>
      </c>
      <c r="G200" s="4">
        <v>2245343</v>
      </c>
      <c r="H200" s="7">
        <v>-14.085295486130242</v>
      </c>
      <c r="I200" s="4">
        <v>3929242.3000000003</v>
      </c>
      <c r="J200" s="4">
        <v>1.9024000000000001</v>
      </c>
      <c r="K200" s="4">
        <v>37.9636</v>
      </c>
      <c r="L200" s="7">
        <v>1</v>
      </c>
      <c r="M200" s="4">
        <v>157.6765</v>
      </c>
      <c r="N200" s="4">
        <v>15.408351499491005</v>
      </c>
      <c r="O200" s="4">
        <v>3.9606607287449393E-2</v>
      </c>
      <c r="P200" s="7">
        <v>5.0266016309615691E-2</v>
      </c>
      <c r="Q200" s="4">
        <v>1.6938788195780348</v>
      </c>
      <c r="R200" s="3">
        <v>7.455393957461213E-3</v>
      </c>
      <c r="S200" s="33">
        <v>8.0082772214906672E-3</v>
      </c>
      <c r="T200" s="5">
        <v>38.299999999999997</v>
      </c>
      <c r="U200" s="34">
        <v>0.37974000833333332</v>
      </c>
      <c r="V200">
        <v>6.7371581123711897</v>
      </c>
      <c r="W200" s="34"/>
    </row>
    <row r="201" spans="1:23" x14ac:dyDescent="0.2">
      <c r="A201" s="2"/>
      <c r="C201" s="4"/>
      <c r="D201" s="4"/>
      <c r="E201" s="6"/>
      <c r="F201" s="4"/>
      <c r="G201" s="4"/>
      <c r="I201" s="4"/>
      <c r="J201" s="4"/>
      <c r="K201" s="4"/>
      <c r="L201" s="7"/>
      <c r="M201" s="4"/>
      <c r="N201" s="4"/>
      <c r="O201" s="4"/>
      <c r="Q201" s="4"/>
      <c r="R201" s="3"/>
      <c r="W201" s="34"/>
    </row>
    <row r="202" spans="1:23" ht="16" x14ac:dyDescent="0.2">
      <c r="A202" s="2" t="s">
        <v>67</v>
      </c>
      <c r="B202" s="5">
        <v>2014</v>
      </c>
      <c r="C202" s="4">
        <v>8.2647037996851598</v>
      </c>
      <c r="D202" s="4">
        <v>-9.4975900086327112</v>
      </c>
      <c r="E202" s="13">
        <v>0.10934836027164081</v>
      </c>
      <c r="F202" s="4">
        <v>1.0028999999999999</v>
      </c>
      <c r="G202" s="4">
        <v>1800239</v>
      </c>
      <c r="H202" s="7">
        <v>-10.800346643292853</v>
      </c>
      <c r="I202" s="4">
        <v>1823172.66</v>
      </c>
      <c r="J202" s="4">
        <v>2.7993000000000001</v>
      </c>
      <c r="K202" s="4">
        <v>35.255699999999997</v>
      </c>
      <c r="L202" s="7">
        <v>1</v>
      </c>
      <c r="M202" s="4">
        <v>133.45169999999999</v>
      </c>
      <c r="N202" s="4">
        <v>14.807798904064894</v>
      </c>
      <c r="O202" s="4">
        <v>2.6557270654524016E-2</v>
      </c>
      <c r="P202" s="7">
        <v>2.1150474650619353E-2</v>
      </c>
      <c r="Q202" s="4">
        <v>1.003578889516725</v>
      </c>
      <c r="R202" s="3">
        <v>7.2107215089667019E-3</v>
      </c>
      <c r="S202" s="33">
        <v>9.457781607341903E-2</v>
      </c>
      <c r="T202" s="5">
        <v>99.9</v>
      </c>
      <c r="U202" s="34">
        <v>0.12046267500000001</v>
      </c>
      <c r="V202">
        <v>6.1434340944886703</v>
      </c>
    </row>
    <row r="203" spans="1:23" ht="16" x14ac:dyDescent="0.2">
      <c r="A203" s="2" t="s">
        <v>67</v>
      </c>
      <c r="B203" s="5">
        <v>2015</v>
      </c>
      <c r="C203" s="4">
        <v>7.6284596438580952</v>
      </c>
      <c r="D203" s="4">
        <v>3.0214154930881976</v>
      </c>
      <c r="E203" s="13">
        <v>-1.3871523996728873E-2</v>
      </c>
      <c r="F203" s="4">
        <v>0.98419999999999996</v>
      </c>
      <c r="G203" s="4">
        <v>3053503</v>
      </c>
      <c r="H203" s="7">
        <v>69.616534249063605</v>
      </c>
      <c r="I203" s="4">
        <v>2558287.7999999998</v>
      </c>
      <c r="J203" s="4">
        <v>2.6381999999999999</v>
      </c>
      <c r="K203" s="4">
        <v>35.575699999999998</v>
      </c>
      <c r="L203" s="7">
        <v>1</v>
      </c>
      <c r="M203" s="4">
        <v>160.26169999999999</v>
      </c>
      <c r="N203" s="4">
        <v>14.855221738712222</v>
      </c>
      <c r="O203" s="4">
        <v>2.3902209751268409E-2</v>
      </c>
      <c r="P203" s="7">
        <v>2.1165447550506238E-2</v>
      </c>
      <c r="Q203" s="4">
        <v>1.0415408340146408</v>
      </c>
      <c r="R203" s="3">
        <v>7.5764042519603459E-3</v>
      </c>
      <c r="S203" s="33">
        <v>5.5934460075526035E-2</v>
      </c>
      <c r="T203" s="5">
        <v>40.6</v>
      </c>
      <c r="U203" s="34">
        <v>0.11306368333333332</v>
      </c>
      <c r="V203">
        <v>6.22748867298455</v>
      </c>
      <c r="W203" s="34"/>
    </row>
    <row r="204" spans="1:23" ht="16" x14ac:dyDescent="0.2">
      <c r="A204" s="2" t="s">
        <v>67</v>
      </c>
      <c r="B204" s="5">
        <v>2016</v>
      </c>
      <c r="C204" s="4">
        <v>6.9334969534284898</v>
      </c>
      <c r="D204" s="4">
        <v>3.8600557356291181</v>
      </c>
      <c r="E204" s="13">
        <v>-2.349814211696187E-2</v>
      </c>
      <c r="F204" s="4">
        <v>0.98950000000000005</v>
      </c>
      <c r="G204" s="4">
        <v>5454577</v>
      </c>
      <c r="H204" s="7">
        <v>78.6334252823724</v>
      </c>
      <c r="I204" s="4">
        <v>2574929.9199999999</v>
      </c>
      <c r="J204" s="4">
        <v>2.2166999999999999</v>
      </c>
      <c r="K204" s="4">
        <v>36.302700000000002</v>
      </c>
      <c r="L204" s="7">
        <v>1</v>
      </c>
      <c r="M204" s="4">
        <v>177.27170000000001</v>
      </c>
      <c r="N204" s="4">
        <v>14.921032254933319</v>
      </c>
      <c r="O204" s="4">
        <v>2.2852047397001533E-2</v>
      </c>
      <c r="P204" s="7">
        <v>2.8537106755273746E-2</v>
      </c>
      <c r="Q204" s="4">
        <v>0.93548765904800435</v>
      </c>
      <c r="R204" s="3">
        <v>7.5358564072105436E-3</v>
      </c>
      <c r="S204" s="33">
        <v>1.5525894567969992E-2</v>
      </c>
      <c r="T204" s="5">
        <v>40.6</v>
      </c>
      <c r="U204" s="34">
        <v>0.10788815833333336</v>
      </c>
      <c r="V204">
        <v>6.6444778294468003</v>
      </c>
      <c r="W204" s="34"/>
    </row>
    <row r="205" spans="1:23" ht="16" x14ac:dyDescent="0.2">
      <c r="A205" s="2" t="s">
        <v>67</v>
      </c>
      <c r="B205" s="5">
        <v>2017</v>
      </c>
      <c r="C205" s="4">
        <v>6.6698438352304441</v>
      </c>
      <c r="D205" s="4">
        <v>0.22203841822905218</v>
      </c>
      <c r="E205" s="13">
        <v>1.0372204715603772E-2</v>
      </c>
      <c r="F205" s="4">
        <v>0.9909</v>
      </c>
      <c r="G205" s="4">
        <v>5823107</v>
      </c>
      <c r="H205" s="7">
        <v>6.7563442591423675</v>
      </c>
      <c r="I205" s="4">
        <v>2955113.82</v>
      </c>
      <c r="J205" s="4">
        <v>2.2267000000000001</v>
      </c>
      <c r="K205" s="4">
        <v>31.5184</v>
      </c>
      <c r="L205" s="7">
        <v>1</v>
      </c>
      <c r="M205" s="4">
        <v>145.74680000000001</v>
      </c>
      <c r="N205" s="4">
        <v>15.039344811385766</v>
      </c>
      <c r="O205" s="4">
        <v>2.5494603146588676E-2</v>
      </c>
      <c r="P205" s="7">
        <v>2.5811213237569564E-2</v>
      </c>
      <c r="Q205" s="4">
        <v>0.99356531098588619</v>
      </c>
      <c r="R205" s="3">
        <v>7.7336023980856608E-3</v>
      </c>
      <c r="S205" s="33">
        <v>9.5891306540979396E-2</v>
      </c>
      <c r="T205" s="5">
        <v>39.299999999999997</v>
      </c>
      <c r="U205" s="34">
        <v>0.10495592499999999</v>
      </c>
      <c r="V205">
        <v>6.7587550863359702</v>
      </c>
      <c r="W205" s="34"/>
    </row>
    <row r="206" spans="1:23" ht="16" x14ac:dyDescent="0.2">
      <c r="A206" s="2" t="s">
        <v>67</v>
      </c>
      <c r="B206" s="5">
        <v>2018</v>
      </c>
      <c r="C206" s="4">
        <v>6.6874949194174143</v>
      </c>
      <c r="D206" s="4">
        <v>0.62960324129820044</v>
      </c>
      <c r="E206" s="13">
        <v>1.0663637948218303E-2</v>
      </c>
      <c r="F206" s="4">
        <v>0.97940000000000005</v>
      </c>
      <c r="G206" s="4">
        <v>5339087</v>
      </c>
      <c r="H206" s="7">
        <v>-8.3120574634812652</v>
      </c>
      <c r="I206" s="4">
        <v>2920326.5</v>
      </c>
      <c r="J206" s="4">
        <v>2.2888999999999999</v>
      </c>
      <c r="K206" s="4">
        <v>31.360099999999999</v>
      </c>
      <c r="L206" s="7">
        <v>1</v>
      </c>
      <c r="M206" s="4">
        <v>142.45150000000001</v>
      </c>
      <c r="N206" s="4">
        <v>15.032231755112377</v>
      </c>
      <c r="O206" s="4">
        <v>2.7704434397518015E-2</v>
      </c>
      <c r="P206" s="7">
        <v>3.7055192347300418E-2</v>
      </c>
      <c r="Q206" s="4">
        <v>1.0530978630990482</v>
      </c>
      <c r="R206" s="3">
        <v>7.8637904597177507E-3</v>
      </c>
      <c r="S206" s="33">
        <v>0.12870455661971003</v>
      </c>
      <c r="T206" s="5">
        <v>37.9</v>
      </c>
      <c r="U206" s="34">
        <v>0.14311219999999999</v>
      </c>
      <c r="V206">
        <v>6.6159571773543897</v>
      </c>
      <c r="W206" s="34"/>
    </row>
    <row r="207" spans="1:23" ht="16" x14ac:dyDescent="0.2">
      <c r="A207" s="2" t="s">
        <v>67</v>
      </c>
      <c r="B207" s="5">
        <v>2019</v>
      </c>
      <c r="C207" s="4">
        <v>6.5509034377603159</v>
      </c>
      <c r="D207" s="4">
        <v>0.65405063451431678</v>
      </c>
      <c r="E207" s="13">
        <v>4.8350424044767007E-3</v>
      </c>
      <c r="F207" s="4">
        <v>0.97719999999999996</v>
      </c>
      <c r="G207" s="4">
        <v>4348535</v>
      </c>
      <c r="H207" s="7">
        <v>-18.552834969724223</v>
      </c>
      <c r="I207" s="4">
        <v>3051267.37</v>
      </c>
      <c r="J207" s="4">
        <v>2.3212000000000002</v>
      </c>
      <c r="K207" s="4">
        <v>30.6966</v>
      </c>
      <c r="L207" s="7">
        <v>1</v>
      </c>
      <c r="M207" s="4">
        <v>145.30080000000001</v>
      </c>
      <c r="N207" s="4">
        <v>15.111031930642254</v>
      </c>
      <c r="O207" s="4">
        <v>3.209202340563589E-2</v>
      </c>
      <c r="P207" s="7">
        <v>4.1391298930183951E-2</v>
      </c>
      <c r="Q207" s="4">
        <v>1.1423970721194383</v>
      </c>
      <c r="R207" s="3">
        <v>7.8760167604177301E-3</v>
      </c>
      <c r="S207" s="33">
        <v>2.7712383170145276E-2</v>
      </c>
      <c r="T207" s="5">
        <v>37.700000000000003</v>
      </c>
      <c r="U207" s="34">
        <v>0.29669430000000002</v>
      </c>
      <c r="V207">
        <v>6.9083850099290096</v>
      </c>
      <c r="W207" s="34"/>
    </row>
    <row r="208" spans="1:23" ht="16" x14ac:dyDescent="0.2">
      <c r="A208" s="2" t="s">
        <v>67</v>
      </c>
      <c r="B208" s="5">
        <v>2020</v>
      </c>
      <c r="C208" s="4">
        <v>6.0682999206489665</v>
      </c>
      <c r="D208" s="4">
        <v>1.3355953484265761</v>
      </c>
      <c r="E208" s="13">
        <v>2.6158414599043978E-3</v>
      </c>
      <c r="F208" s="4">
        <v>0.96399999999999997</v>
      </c>
      <c r="G208" s="4">
        <v>4237317</v>
      </c>
      <c r="H208" s="7">
        <v>-2.5575969838117896</v>
      </c>
      <c r="I208" s="4">
        <v>3994508</v>
      </c>
      <c r="J208" s="4">
        <v>2.1920999999999999</v>
      </c>
      <c r="K208" s="4">
        <v>32.624400000000001</v>
      </c>
      <c r="L208" s="7">
        <v>1</v>
      </c>
      <c r="M208" s="4">
        <v>148.9066</v>
      </c>
      <c r="N208" s="4">
        <v>15.27644846207993</v>
      </c>
      <c r="O208" s="4">
        <v>3.0718582849347108E-2</v>
      </c>
      <c r="P208" s="7">
        <v>3.1229449657657147E-2</v>
      </c>
      <c r="Q208" s="4">
        <v>1.2296678155163965</v>
      </c>
      <c r="R208" s="3">
        <v>7.9167580310842874E-3</v>
      </c>
      <c r="S208" s="33">
        <v>2.8555740275520065E-2</v>
      </c>
      <c r="T208" s="5">
        <v>37.9</v>
      </c>
      <c r="U208" s="34">
        <v>0.27519169999999998</v>
      </c>
      <c r="V208">
        <v>6.9007672694492497</v>
      </c>
      <c r="W208" s="34"/>
    </row>
    <row r="209" spans="1:23" ht="16" x14ac:dyDescent="0.2">
      <c r="A209" s="2" t="s">
        <v>67</v>
      </c>
      <c r="B209" s="5">
        <v>2021</v>
      </c>
      <c r="C209" s="4">
        <v>6.2103276684343056</v>
      </c>
      <c r="D209" s="4">
        <v>-0.26433185894150535</v>
      </c>
      <c r="E209" s="13">
        <v>1.5471680482601271E-2</v>
      </c>
      <c r="F209" s="4">
        <v>0.9546</v>
      </c>
      <c r="G209" s="4">
        <v>3897807</v>
      </c>
      <c r="H209" s="7">
        <v>-8.0123814196577694</v>
      </c>
      <c r="I209" s="4">
        <v>4186244.0999999996</v>
      </c>
      <c r="J209" s="4">
        <v>2.1463000000000001</v>
      </c>
      <c r="K209" s="4">
        <v>33.78</v>
      </c>
      <c r="L209" s="7">
        <v>1</v>
      </c>
      <c r="M209" s="4">
        <v>134.1234</v>
      </c>
      <c r="N209" s="4">
        <v>15.375716208518149</v>
      </c>
      <c r="O209" s="4">
        <v>3.3887078337276104E-2</v>
      </c>
      <c r="P209" s="7">
        <v>2.6611762398980346E-2</v>
      </c>
      <c r="Q209" s="4">
        <v>1.1993184883554897</v>
      </c>
      <c r="R209" s="3">
        <v>8.1169997366547925E-3</v>
      </c>
      <c r="S209" s="33">
        <v>0.21328775065622899</v>
      </c>
      <c r="T209" s="5">
        <v>38.5</v>
      </c>
      <c r="U209" s="34">
        <v>0.17849286666666667</v>
      </c>
      <c r="V209">
        <v>6.4489751802431599</v>
      </c>
      <c r="W209" s="34"/>
    </row>
    <row r="210" spans="1:23" ht="16" x14ac:dyDescent="0.2">
      <c r="A210" s="2" t="s">
        <v>67</v>
      </c>
      <c r="B210" s="5">
        <v>2022</v>
      </c>
      <c r="C210" s="4">
        <v>5.9847327191774724</v>
      </c>
      <c r="D210" s="4">
        <v>0.70739487601875117</v>
      </c>
      <c r="E210" s="13">
        <v>7.0282379857586584E-3</v>
      </c>
      <c r="F210" s="4">
        <v>0.95309999999999995</v>
      </c>
      <c r="G210" s="4">
        <v>3467721</v>
      </c>
      <c r="H210" s="7">
        <v>-11.034050685423882</v>
      </c>
      <c r="I210" s="4">
        <v>4244702.28</v>
      </c>
      <c r="J210" s="4">
        <v>2.0175000000000001</v>
      </c>
      <c r="K210" s="4">
        <v>36.3123</v>
      </c>
      <c r="L210" s="7">
        <v>1</v>
      </c>
      <c r="M210" s="4">
        <v>160.45249999999999</v>
      </c>
      <c r="N210" s="4">
        <v>15.428063613298519</v>
      </c>
      <c r="O210" s="4">
        <v>3.3292812989300626E-2</v>
      </c>
      <c r="P210" s="7">
        <v>3.3046229098545869E-2</v>
      </c>
      <c r="Q210" s="4">
        <v>1.3836832132347181</v>
      </c>
      <c r="R210" s="3">
        <v>8.1202954623498004E-3</v>
      </c>
      <c r="S210" s="33">
        <v>8.0082772214906672E-3</v>
      </c>
      <c r="T210" s="5">
        <v>38.299999999999997</v>
      </c>
      <c r="U210" s="34">
        <v>0.37974000833333332</v>
      </c>
      <c r="V210">
        <v>6.7371581123711897</v>
      </c>
      <c r="W210" s="34"/>
    </row>
    <row r="211" spans="1:23" x14ac:dyDescent="0.2">
      <c r="A211" s="2"/>
      <c r="C211" s="4"/>
      <c r="D211" s="4"/>
      <c r="E211" s="6"/>
      <c r="F211" s="4"/>
      <c r="G211" s="4"/>
      <c r="I211" s="4"/>
      <c r="J211" s="4"/>
      <c r="K211" s="4"/>
      <c r="L211" s="7"/>
      <c r="M211" s="4"/>
      <c r="N211" s="4"/>
      <c r="O211" s="4"/>
      <c r="Q211" s="4"/>
      <c r="R211" s="3"/>
      <c r="S211" s="2"/>
      <c r="W211" s="34"/>
    </row>
    <row r="212" spans="1:23" ht="16" x14ac:dyDescent="0.2">
      <c r="A212" s="2" t="s">
        <v>68</v>
      </c>
      <c r="B212" s="5">
        <v>2014</v>
      </c>
      <c r="C212" s="4">
        <v>8.63306660459752</v>
      </c>
      <c r="D212" s="4">
        <v>-12.30869458550346</v>
      </c>
      <c r="E212" s="13">
        <v>0.13779010050986762</v>
      </c>
      <c r="F212" s="4">
        <v>1.0064</v>
      </c>
      <c r="G212" s="4">
        <v>3860392</v>
      </c>
      <c r="H212" s="7">
        <v>23.822308012318103</v>
      </c>
      <c r="I212" s="4">
        <v>1618917.3</v>
      </c>
      <c r="J212" s="4">
        <v>2.2543000000000002</v>
      </c>
      <c r="K212" s="4">
        <v>39.276600000000002</v>
      </c>
      <c r="L212" s="7">
        <v>1</v>
      </c>
      <c r="M212" s="4">
        <v>224.96850000000001</v>
      </c>
      <c r="N212" s="4">
        <v>14.714451651503316</v>
      </c>
      <c r="O212" s="4">
        <v>2.2224480755158788E-2</v>
      </c>
      <c r="P212" s="7">
        <v>7.5370632951278105E-2</v>
      </c>
      <c r="Q212" s="4">
        <v>1.2234064262012505</v>
      </c>
      <c r="R212" s="3">
        <v>7.793066695717595E-3</v>
      </c>
      <c r="S212" s="33">
        <v>9.457781607341903E-2</v>
      </c>
      <c r="T212" s="5">
        <v>99.9</v>
      </c>
      <c r="U212" s="34">
        <v>0.12046267500000001</v>
      </c>
      <c r="V212">
        <v>6.1434340944886703</v>
      </c>
      <c r="W212" s="34"/>
    </row>
    <row r="213" spans="1:23" ht="16" x14ac:dyDescent="0.2">
      <c r="A213" s="2" t="s">
        <v>68</v>
      </c>
      <c r="B213" s="5">
        <v>2015</v>
      </c>
      <c r="C213" s="4">
        <v>7.966860918518722</v>
      </c>
      <c r="D213" s="4">
        <v>5.1113206614623055</v>
      </c>
      <c r="E213" s="13">
        <v>-3.2529058371831822E-2</v>
      </c>
      <c r="F213" s="4">
        <v>0.99299999999999999</v>
      </c>
      <c r="G213" s="4">
        <v>5995734</v>
      </c>
      <c r="H213" s="7">
        <v>55.314123539785598</v>
      </c>
      <c r="I213" s="4">
        <v>2017612.8</v>
      </c>
      <c r="J213" s="4">
        <v>2.117</v>
      </c>
      <c r="K213" s="4">
        <v>39.6355</v>
      </c>
      <c r="L213" s="7">
        <v>1</v>
      </c>
      <c r="M213" s="4">
        <v>213.43520000000001</v>
      </c>
      <c r="N213" s="4">
        <v>14.767940336454302</v>
      </c>
      <c r="O213" s="4">
        <v>2.1964934810396249E-2</v>
      </c>
      <c r="P213" s="7">
        <v>6.263800773510135E-2</v>
      </c>
      <c r="Q213" s="4">
        <v>1.2559353094623589</v>
      </c>
      <c r="R213" s="3">
        <v>7.7800488758117776E-3</v>
      </c>
      <c r="S213" s="33">
        <v>5.5934460075526035E-2</v>
      </c>
      <c r="T213" s="5">
        <v>40.6</v>
      </c>
      <c r="U213" s="34">
        <v>0.11306368333333332</v>
      </c>
      <c r="V213">
        <v>6.22748867298455</v>
      </c>
      <c r="W213" s="34"/>
    </row>
    <row r="214" spans="1:23" ht="16" x14ac:dyDescent="0.2">
      <c r="A214" s="2" t="s">
        <v>68</v>
      </c>
      <c r="B214" s="5">
        <v>2016</v>
      </c>
      <c r="C214" s="4">
        <v>7.1120596456864975</v>
      </c>
      <c r="D214" s="4">
        <v>2.6897474466915212</v>
      </c>
      <c r="E214" s="13">
        <v>-1.2064381361909125E-2</v>
      </c>
      <c r="F214" s="4">
        <v>0.98180000000000001</v>
      </c>
      <c r="G214" s="4">
        <v>7878945</v>
      </c>
      <c r="H214" s="7">
        <v>31.40918192835106</v>
      </c>
      <c r="I214" s="4">
        <v>2103928.4</v>
      </c>
      <c r="J214" s="4">
        <v>1.8314999999999999</v>
      </c>
      <c r="K214" s="4">
        <v>36.217799999999997</v>
      </c>
      <c r="L214" s="7">
        <v>1</v>
      </c>
      <c r="M214" s="4">
        <v>200.38319999999999</v>
      </c>
      <c r="N214" s="4">
        <v>14.776851134392137</v>
      </c>
      <c r="O214" s="4">
        <v>2.3835854637812258E-2</v>
      </c>
      <c r="P214" s="7">
        <v>5.6077640182133889E-2</v>
      </c>
      <c r="Q214" s="4">
        <v>1.1741462208687998</v>
      </c>
      <c r="R214" s="3">
        <v>7.707376272794165E-3</v>
      </c>
      <c r="S214" s="33">
        <v>1.5525894567969992E-2</v>
      </c>
      <c r="T214" s="5">
        <v>40.6</v>
      </c>
      <c r="U214" s="34">
        <v>0.10788815833333336</v>
      </c>
      <c r="V214">
        <v>6.6444778294468003</v>
      </c>
    </row>
    <row r="215" spans="1:23" ht="16" x14ac:dyDescent="0.2">
      <c r="A215" s="2" t="s">
        <v>68</v>
      </c>
      <c r="B215" s="5">
        <v>2017</v>
      </c>
      <c r="C215" s="4">
        <v>6.9338059726538877</v>
      </c>
      <c r="D215" s="4">
        <v>0.33803844943526262</v>
      </c>
      <c r="E215" s="13">
        <v>8.3254358411516526E-3</v>
      </c>
      <c r="F215" s="4">
        <v>0.98499999999999999</v>
      </c>
      <c r="G215" s="4">
        <v>10112431</v>
      </c>
      <c r="H215" s="7">
        <v>28.347526223371279</v>
      </c>
      <c r="I215" s="4">
        <v>2435406.5999999996</v>
      </c>
      <c r="J215" s="4">
        <v>1.8523000000000001</v>
      </c>
      <c r="K215" s="4">
        <v>36.368299999999998</v>
      </c>
      <c r="L215" s="7">
        <v>1</v>
      </c>
      <c r="M215" s="4">
        <v>221.40889999999999</v>
      </c>
      <c r="N215" s="4">
        <v>14.91141919505807</v>
      </c>
      <c r="O215" s="4">
        <v>2.3149427658685138E-2</v>
      </c>
      <c r="P215" s="7">
        <v>4.9224149443127786E-2</v>
      </c>
      <c r="Q215" s="4">
        <v>1.2817972334175085</v>
      </c>
      <c r="R215" s="3">
        <v>7.9783665376021943E-3</v>
      </c>
      <c r="S215" s="33">
        <v>9.5891306540979396E-2</v>
      </c>
      <c r="T215" s="5">
        <v>39.299999999999997</v>
      </c>
      <c r="U215" s="34">
        <v>0.10495592499999999</v>
      </c>
      <c r="V215">
        <v>6.7587550863359702</v>
      </c>
      <c r="W215" s="34"/>
    </row>
    <row r="216" spans="1:23" ht="16" x14ac:dyDescent="0.2">
      <c r="A216" s="2" t="s">
        <v>68</v>
      </c>
      <c r="B216" s="5">
        <v>2018</v>
      </c>
      <c r="C216" s="4">
        <v>6.7089066005619218</v>
      </c>
      <c r="D216" s="4">
        <v>0.48033461174762526</v>
      </c>
      <c r="E216" s="13">
        <v>9.0802264900776489E-3</v>
      </c>
      <c r="F216" s="4">
        <v>0.96989999999999998</v>
      </c>
      <c r="G216" s="4">
        <v>11209791</v>
      </c>
      <c r="H216" s="7">
        <v>10.851594438567739</v>
      </c>
      <c r="I216" s="4">
        <v>2427063</v>
      </c>
      <c r="J216" s="4">
        <v>1.9046000000000001</v>
      </c>
      <c r="K216" s="4">
        <v>33.265599999999999</v>
      </c>
      <c r="L216" s="7">
        <v>1</v>
      </c>
      <c r="M216" s="4">
        <v>234.58090000000001</v>
      </c>
      <c r="N216" s="4">
        <v>14.944264003544371</v>
      </c>
      <c r="O216" s="4">
        <v>2.3068057011145473E-2</v>
      </c>
      <c r="P216" s="7">
        <v>7.9382898800578278E-2</v>
      </c>
      <c r="Q216" s="4">
        <v>1.4497802311148753</v>
      </c>
      <c r="R216" s="3">
        <v>7.9200354371251978E-3</v>
      </c>
      <c r="S216" s="33">
        <v>0.12870455661971003</v>
      </c>
      <c r="T216" s="5">
        <v>37.9</v>
      </c>
      <c r="U216" s="34">
        <v>0.14311219999999999</v>
      </c>
      <c r="V216">
        <v>6.6159571773543897</v>
      </c>
      <c r="W216" s="34"/>
    </row>
    <row r="217" spans="1:23" ht="16" x14ac:dyDescent="0.2">
      <c r="A217" s="2" t="s">
        <v>68</v>
      </c>
      <c r="B217" s="5">
        <v>2019</v>
      </c>
      <c r="C217" s="4">
        <v>6.5183583099104583</v>
      </c>
      <c r="D217" s="4">
        <v>0.48533284736740234</v>
      </c>
      <c r="E217" s="13">
        <v>5.9173846707561003E-3</v>
      </c>
      <c r="F217" s="4">
        <v>0.97250000000000003</v>
      </c>
      <c r="G217" s="4">
        <v>10637104</v>
      </c>
      <c r="H217" s="7">
        <v>-5.1088106816621295</v>
      </c>
      <c r="I217" s="4">
        <v>2559677.7200000002</v>
      </c>
      <c r="J217" s="4">
        <v>1.9078999999999999</v>
      </c>
      <c r="K217" s="4">
        <v>36.640099999999997</v>
      </c>
      <c r="L217" s="7">
        <v>1</v>
      </c>
      <c r="M217" s="4">
        <v>218.50409999999999</v>
      </c>
      <c r="N217" s="4">
        <v>15.000269961366071</v>
      </c>
      <c r="O217" s="4">
        <v>2.4895727461636829E-2</v>
      </c>
      <c r="P217" s="7">
        <v>5.9137982004441064E-2</v>
      </c>
      <c r="Q217" s="4">
        <v>1.4742575753300025</v>
      </c>
      <c r="R217" s="3">
        <v>8.262328898140275E-3</v>
      </c>
      <c r="S217" s="33">
        <v>2.7712383170145276E-2</v>
      </c>
      <c r="T217" s="5">
        <v>37.700000000000003</v>
      </c>
      <c r="U217" s="34">
        <v>0.29669430000000002</v>
      </c>
      <c r="V217">
        <v>6.9083850099290096</v>
      </c>
      <c r="W217" s="34"/>
    </row>
    <row r="218" spans="1:23" ht="16" x14ac:dyDescent="0.2">
      <c r="A218" s="2" t="s">
        <v>68</v>
      </c>
      <c r="B218" s="5">
        <v>2020</v>
      </c>
      <c r="C218" s="4">
        <v>6.2988721056320554</v>
      </c>
      <c r="D218" s="4">
        <v>1.5141142452508032</v>
      </c>
      <c r="E218" s="13">
        <v>1.1490673738317802E-4</v>
      </c>
      <c r="F218" s="4">
        <v>0.96289999999999998</v>
      </c>
      <c r="G218" s="4">
        <v>11013335</v>
      </c>
      <c r="H218" s="7">
        <v>3.536968332734173</v>
      </c>
      <c r="I218" s="4">
        <v>3175566.8400000003</v>
      </c>
      <c r="J218" s="4">
        <v>1.8516999999999999</v>
      </c>
      <c r="K218" s="4">
        <v>37.667999999999999</v>
      </c>
      <c r="L218" s="7">
        <v>1</v>
      </c>
      <c r="M218" s="4">
        <v>208.10499999999999</v>
      </c>
      <c r="N218" s="4">
        <v>15.134221767760369</v>
      </c>
      <c r="O218" s="4">
        <v>2.3624528854118729E-2</v>
      </c>
      <c r="P218" s="7">
        <v>6.1232312641865676E-2</v>
      </c>
      <c r="Q218" s="4">
        <v>1.4048970052812322</v>
      </c>
      <c r="R218" s="3">
        <v>8.4030455210241384E-3</v>
      </c>
      <c r="S218" s="33">
        <v>2.8555740275520065E-2</v>
      </c>
      <c r="T218" s="5">
        <v>37.9</v>
      </c>
      <c r="U218" s="34">
        <v>0.27519169999999998</v>
      </c>
      <c r="V218">
        <v>6.9007672694492497</v>
      </c>
      <c r="W218" s="34"/>
    </row>
    <row r="219" spans="1:23" ht="16" x14ac:dyDescent="0.2">
      <c r="A219" s="2" t="s">
        <v>68</v>
      </c>
      <c r="B219" s="5">
        <v>2021</v>
      </c>
      <c r="C219" s="4">
        <v>6.4992414405315913</v>
      </c>
      <c r="D219" s="4">
        <v>-2.1657508376468595</v>
      </c>
      <c r="E219" s="13">
        <v>3.2022820934690277E-2</v>
      </c>
      <c r="F219" s="4">
        <v>0.95989999999999998</v>
      </c>
      <c r="G219" s="4">
        <v>10912162</v>
      </c>
      <c r="H219" s="7">
        <v>-0.91864090214272065</v>
      </c>
      <c r="I219" s="4">
        <v>3284741.46</v>
      </c>
      <c r="J219" s="4">
        <v>1.7799</v>
      </c>
      <c r="K219" s="4">
        <v>38.195999999999998</v>
      </c>
      <c r="L219" s="7">
        <v>1</v>
      </c>
      <c r="M219" s="4">
        <v>233.697</v>
      </c>
      <c r="N219" s="4">
        <v>15.25159458358668</v>
      </c>
      <c r="O219" s="4">
        <v>2.482707920711974E-2</v>
      </c>
      <c r="P219" s="7">
        <v>7.3886543226165863E-2</v>
      </c>
      <c r="Q219" s="4">
        <v>1.3242107713023739</v>
      </c>
      <c r="R219" s="3">
        <v>8.6603280283840262E-3</v>
      </c>
      <c r="S219" s="33">
        <v>0.21328775065622899</v>
      </c>
      <c r="T219" s="5">
        <v>38.5</v>
      </c>
      <c r="U219" s="34">
        <v>0.17849286666666667</v>
      </c>
      <c r="V219">
        <v>6.4489751802431599</v>
      </c>
      <c r="W219" s="34"/>
    </row>
    <row r="220" spans="1:23" ht="16" x14ac:dyDescent="0.2">
      <c r="A220" s="2" t="s">
        <v>68</v>
      </c>
      <c r="B220" s="5">
        <v>2022</v>
      </c>
      <c r="C220" s="4">
        <v>6.3008481173617481</v>
      </c>
      <c r="D220" s="4">
        <v>4.6710235948752352</v>
      </c>
      <c r="E220" s="13">
        <v>-3.5385416474635792E-2</v>
      </c>
      <c r="F220" s="4">
        <v>0.95920000000000005</v>
      </c>
      <c r="G220" s="4">
        <v>11503597</v>
      </c>
      <c r="H220" s="7">
        <v>5.4199616904514425</v>
      </c>
      <c r="I220" s="4">
        <v>3358178.94</v>
      </c>
      <c r="J220" s="4">
        <v>1.7783</v>
      </c>
      <c r="K220" s="4">
        <v>23.369900000000001</v>
      </c>
      <c r="L220" s="7">
        <v>1</v>
      </c>
      <c r="M220" s="4">
        <v>205.27610000000001</v>
      </c>
      <c r="N220" s="4">
        <v>15.24780548164485</v>
      </c>
      <c r="O220" s="4">
        <v>2.4882414989781481E-2</v>
      </c>
      <c r="P220" s="7">
        <v>7.2370893797663399E-2</v>
      </c>
      <c r="Q220" s="4">
        <v>1.4847508381610448</v>
      </c>
      <c r="R220" s="3">
        <v>8.6887637163017995E-3</v>
      </c>
      <c r="S220" s="33">
        <v>8.0082772214906672E-3</v>
      </c>
      <c r="T220" s="5">
        <v>38.299999999999997</v>
      </c>
      <c r="U220" s="34">
        <v>0.37974000833333332</v>
      </c>
      <c r="V220">
        <v>6.7371581123711897</v>
      </c>
      <c r="W220" s="34"/>
    </row>
    <row r="221" spans="1:23" x14ac:dyDescent="0.2">
      <c r="A221" s="2"/>
      <c r="C221" s="4"/>
      <c r="D221" s="4"/>
      <c r="E221" s="13"/>
      <c r="F221" s="4"/>
      <c r="G221" s="4"/>
      <c r="I221" s="4"/>
      <c r="J221" s="4"/>
      <c r="K221" s="4"/>
      <c r="L221" s="7"/>
      <c r="M221" s="4"/>
      <c r="N221" s="4"/>
      <c r="O221" s="4"/>
      <c r="Q221" s="4"/>
      <c r="R221" s="3"/>
      <c r="W221" s="34"/>
    </row>
    <row r="222" spans="1:23" ht="16" x14ac:dyDescent="0.2">
      <c r="A222" s="2" t="s">
        <v>69</v>
      </c>
      <c r="B222" s="5">
        <v>2014</v>
      </c>
      <c r="C222" s="4">
        <v>10.804048597461358</v>
      </c>
      <c r="D222" s="4">
        <v>1.2324741384311853</v>
      </c>
      <c r="E222" s="13">
        <v>4.4446925688219749E-3</v>
      </c>
      <c r="F222" s="4">
        <v>1.0209999999999999</v>
      </c>
      <c r="G222" s="4">
        <v>1382085</v>
      </c>
      <c r="H222" s="7">
        <v>99.178977678050302</v>
      </c>
      <c r="I222" s="4">
        <v>449750.15464299999</v>
      </c>
      <c r="J222" s="4">
        <v>2.6396999999999999</v>
      </c>
      <c r="K222" s="4">
        <v>37.0092</v>
      </c>
      <c r="L222" s="7">
        <v>1</v>
      </c>
      <c r="M222" s="4">
        <v>305.9427</v>
      </c>
      <c r="N222" s="4">
        <v>13.544080237737226</v>
      </c>
      <c r="O222" s="4">
        <v>2.5921678571467304E-2</v>
      </c>
      <c r="P222" s="7">
        <v>9.9757139039319986E-2</v>
      </c>
      <c r="Q222" s="4">
        <v>1.5126172038821588</v>
      </c>
      <c r="R222" s="3">
        <v>7.5590032645810861E-3</v>
      </c>
      <c r="S222" s="33">
        <v>9.457781607341903E-2</v>
      </c>
      <c r="T222" s="5">
        <v>99.9</v>
      </c>
      <c r="U222" s="34">
        <v>0.12046267500000001</v>
      </c>
      <c r="V222">
        <v>6.1434340944886703</v>
      </c>
      <c r="W222" s="34"/>
    </row>
    <row r="223" spans="1:23" ht="16" x14ac:dyDescent="0.2">
      <c r="A223" s="2" t="s">
        <v>69</v>
      </c>
      <c r="B223" s="5">
        <v>2015</v>
      </c>
      <c r="C223" s="4">
        <v>9.613336024888012</v>
      </c>
      <c r="D223" s="4">
        <v>1.0201543115372793</v>
      </c>
      <c r="E223" s="13">
        <v>1.756499840063459E-2</v>
      </c>
      <c r="F223" s="4">
        <v>1.0146999999999999</v>
      </c>
      <c r="G223" s="4">
        <v>2337686</v>
      </c>
      <c r="H223" s="7">
        <v>69.141984754917388</v>
      </c>
      <c r="I223" s="4">
        <v>730756.60118573008</v>
      </c>
      <c r="J223" s="4">
        <v>2.7690999999999999</v>
      </c>
      <c r="K223" s="4">
        <v>33.6145</v>
      </c>
      <c r="L223" s="7">
        <v>1</v>
      </c>
      <c r="M223" s="4">
        <v>380.1832</v>
      </c>
      <c r="N223" s="4">
        <v>13.64582156690032</v>
      </c>
      <c r="O223" s="4">
        <v>3.0040158749771815E-2</v>
      </c>
      <c r="P223" s="7">
        <v>0.11627059129720073</v>
      </c>
      <c r="Q223" s="4">
        <v>1.3128644382274741</v>
      </c>
      <c r="R223" s="3">
        <v>7.8748909948962893E-3</v>
      </c>
      <c r="S223" s="33">
        <v>5.5934460075526035E-2</v>
      </c>
      <c r="T223" s="5">
        <v>40.6</v>
      </c>
      <c r="U223" s="34">
        <v>0.11306368333333332</v>
      </c>
      <c r="V223">
        <v>6.22748867298455</v>
      </c>
      <c r="W223" s="34"/>
    </row>
    <row r="224" spans="1:23" ht="16" x14ac:dyDescent="0.2">
      <c r="A224" s="2" t="s">
        <v>69</v>
      </c>
      <c r="B224" s="5">
        <v>2016</v>
      </c>
      <c r="C224" s="4">
        <v>9.2823724487045762</v>
      </c>
      <c r="D224" s="4">
        <v>0.55219877593952571</v>
      </c>
      <c r="E224" s="13">
        <v>7.1124149015737203E-3</v>
      </c>
      <c r="F224" s="4">
        <v>1.006</v>
      </c>
      <c r="G224" s="4">
        <v>2667774</v>
      </c>
      <c r="H224" s="7">
        <v>14.120288182416289</v>
      </c>
      <c r="I224" s="4">
        <v>880767.33787979989</v>
      </c>
      <c r="J224" s="4">
        <v>2.4992999999999999</v>
      </c>
      <c r="K224" s="4">
        <v>31.908000000000001</v>
      </c>
      <c r="L224" s="7">
        <v>1</v>
      </c>
      <c r="M224" s="4">
        <v>389.8768</v>
      </c>
      <c r="N224" s="4">
        <v>13.660350127009893</v>
      </c>
      <c r="O224" s="4">
        <v>3.373475202997684E-2</v>
      </c>
      <c r="P224" s="7">
        <v>8.94135972271346E-2</v>
      </c>
      <c r="Q224" s="4">
        <v>1.0357783100169675</v>
      </c>
      <c r="R224" s="3">
        <v>8.5787407451015079E-3</v>
      </c>
      <c r="S224" s="33">
        <v>1.5525894567969992E-2</v>
      </c>
      <c r="T224" s="5">
        <v>40.6</v>
      </c>
      <c r="U224" s="34">
        <v>0.10788815833333336</v>
      </c>
      <c r="V224">
        <v>6.6444778294468003</v>
      </c>
      <c r="W224" s="34"/>
    </row>
    <row r="225" spans="1:23" ht="16" x14ac:dyDescent="0.2">
      <c r="A225" s="2" t="s">
        <v>69</v>
      </c>
      <c r="B225" s="5">
        <v>2017</v>
      </c>
      <c r="C225" s="4">
        <v>9.8252972851465543</v>
      </c>
      <c r="D225" s="4">
        <v>2.6551868425372458</v>
      </c>
      <c r="E225" s="13">
        <v>-1.0296787784893489E-2</v>
      </c>
      <c r="F225" s="4">
        <v>1.0454000000000001</v>
      </c>
      <c r="G225" s="4">
        <v>3488435</v>
      </c>
      <c r="H225" s="7">
        <v>30.762013573863456</v>
      </c>
      <c r="I225" s="4">
        <v>882019.68886759004</v>
      </c>
      <c r="J225" s="4">
        <v>2.4277000000000002</v>
      </c>
      <c r="K225" s="4">
        <v>32.008400000000002</v>
      </c>
      <c r="L225" s="7">
        <v>1</v>
      </c>
      <c r="M225" s="4">
        <v>316.06889999999999</v>
      </c>
      <c r="N225" s="4">
        <v>13.782852785198957</v>
      </c>
      <c r="O225" s="4">
        <v>4.2196393663928869E-2</v>
      </c>
      <c r="P225" s="7">
        <v>7.3073683312108617E-2</v>
      </c>
      <c r="Q225" s="4">
        <v>1.0833054601278209</v>
      </c>
      <c r="R225" s="3">
        <v>8.726564508576359E-3</v>
      </c>
      <c r="S225" s="33">
        <v>9.5891306540979396E-2</v>
      </c>
      <c r="T225" s="5">
        <v>39.299999999999997</v>
      </c>
      <c r="U225" s="34">
        <v>0.10495592499999999</v>
      </c>
      <c r="V225">
        <v>6.7587550863359702</v>
      </c>
      <c r="W225" s="34"/>
    </row>
    <row r="226" spans="1:23" ht="16" x14ac:dyDescent="0.2">
      <c r="A226" s="2" t="s">
        <v>69</v>
      </c>
      <c r="B226" s="5">
        <v>2018</v>
      </c>
      <c r="C226" s="4">
        <v>10.571880197829206</v>
      </c>
      <c r="D226" s="4">
        <v>2.2107915514198067</v>
      </c>
      <c r="E226" s="13">
        <v>-1.9303315586244852E-3</v>
      </c>
      <c r="F226" s="4">
        <v>1.0192000000000001</v>
      </c>
      <c r="G226" s="4">
        <v>6105186</v>
      </c>
      <c r="H226" s="7">
        <v>75.012175947093752</v>
      </c>
      <c r="I226" s="4">
        <v>779360.44724964001</v>
      </c>
      <c r="J226" s="4">
        <v>2.5682</v>
      </c>
      <c r="K226" s="4">
        <v>32.820099999999996</v>
      </c>
      <c r="L226" s="7">
        <v>1</v>
      </c>
      <c r="M226" s="4">
        <v>286.31689999999998</v>
      </c>
      <c r="N226" s="4">
        <v>13.796019516944048</v>
      </c>
      <c r="O226" s="4">
        <v>4.8681530800343285E-2</v>
      </c>
      <c r="P226" s="7">
        <v>8.0579054458220251E-2</v>
      </c>
      <c r="Q226" s="4">
        <v>1.0507567414400798</v>
      </c>
      <c r="R226" s="3">
        <v>8.8495399730002741E-3</v>
      </c>
      <c r="S226" s="33">
        <v>0.12870455661971003</v>
      </c>
      <c r="T226" s="5">
        <v>37.9</v>
      </c>
      <c r="U226" s="34">
        <v>0.14311219999999999</v>
      </c>
      <c r="V226">
        <v>6.6159571773543897</v>
      </c>
    </row>
    <row r="227" spans="1:23" ht="16" x14ac:dyDescent="0.2">
      <c r="A227" s="2" t="s">
        <v>69</v>
      </c>
      <c r="B227" s="5">
        <v>2019</v>
      </c>
      <c r="C227" s="4">
        <v>11.204905810358364</v>
      </c>
      <c r="D227" s="4">
        <v>1.3178233158563464</v>
      </c>
      <c r="E227" s="13">
        <v>3.2707789210671833E-3</v>
      </c>
      <c r="F227" s="4">
        <v>1.0488999999999999</v>
      </c>
      <c r="G227" s="4">
        <v>5922522</v>
      </c>
      <c r="H227" s="7">
        <v>-2.9919481568620512</v>
      </c>
      <c r="I227" s="4">
        <v>750752.96</v>
      </c>
      <c r="J227" s="4">
        <v>2.5874000000000001</v>
      </c>
      <c r="K227" s="4">
        <v>34.132399999999997</v>
      </c>
      <c r="L227" s="7">
        <v>1</v>
      </c>
      <c r="M227" s="4">
        <v>276.90690000000001</v>
      </c>
      <c r="N227" s="4">
        <v>13.878673132921914</v>
      </c>
      <c r="O227" s="4">
        <v>4.9530920772506891E-2</v>
      </c>
      <c r="P227" s="7">
        <v>7.9537569977684824E-2</v>
      </c>
      <c r="Q227" s="4">
        <v>1.0389484387544892</v>
      </c>
      <c r="R227" s="3">
        <v>9.1820172102299105E-3</v>
      </c>
      <c r="S227" s="33">
        <v>2.7712383170145276E-2</v>
      </c>
      <c r="T227" s="5">
        <v>37.700000000000003</v>
      </c>
      <c r="U227" s="34">
        <v>0.29669430000000002</v>
      </c>
      <c r="V227">
        <v>6.9083850099290096</v>
      </c>
      <c r="W227" s="34"/>
    </row>
    <row r="228" spans="1:23" ht="16" x14ac:dyDescent="0.2">
      <c r="A228" s="2" t="s">
        <v>69</v>
      </c>
      <c r="B228" s="5">
        <v>2020</v>
      </c>
      <c r="C228" s="4">
        <v>10.614169972726714</v>
      </c>
      <c r="D228" s="4">
        <v>-35.343103361579935</v>
      </c>
      <c r="E228" s="13">
        <v>0.37703734121309213</v>
      </c>
      <c r="F228" s="4">
        <v>1.0546</v>
      </c>
      <c r="G228" s="4">
        <v>4715670</v>
      </c>
      <c r="H228" s="7">
        <v>-20.377332494501498</v>
      </c>
      <c r="I228" s="4">
        <v>821377.2</v>
      </c>
      <c r="J228" s="4">
        <v>2.4861</v>
      </c>
      <c r="K228" s="4">
        <v>35.774099999999997</v>
      </c>
      <c r="L228" s="7">
        <v>1</v>
      </c>
      <c r="M228" s="4">
        <v>230.4871</v>
      </c>
      <c r="N228" s="4">
        <v>14.063151580878872</v>
      </c>
      <c r="O228" s="4">
        <v>4.6542457987050478E-2</v>
      </c>
      <c r="P228" s="7">
        <v>6.6084235014518947E-2</v>
      </c>
      <c r="Q228" s="4">
        <v>1.0237121403208551</v>
      </c>
      <c r="R228" s="3">
        <v>8.8673006688334225E-3</v>
      </c>
      <c r="S228" s="33">
        <v>2.8555740275520065E-2</v>
      </c>
      <c r="T228" s="5">
        <v>37.9</v>
      </c>
      <c r="U228" s="34">
        <v>0.27519169999999998</v>
      </c>
      <c r="V228">
        <v>6.9007672694492497</v>
      </c>
      <c r="W228" s="34"/>
    </row>
    <row r="229" spans="1:23" ht="16" x14ac:dyDescent="0.2">
      <c r="A229" s="2" t="s">
        <v>69</v>
      </c>
      <c r="B229" s="5">
        <v>2021</v>
      </c>
      <c r="C229" s="4">
        <v>11.693550280248539</v>
      </c>
      <c r="D229" s="4">
        <v>0.7997448635041301</v>
      </c>
      <c r="E229" s="13">
        <v>1.3282667457567281E-2</v>
      </c>
      <c r="F229" s="4">
        <v>1.054</v>
      </c>
      <c r="G229" s="4">
        <v>3967807</v>
      </c>
      <c r="H229" s="7">
        <v>-15.859103796491272</v>
      </c>
      <c r="I229" s="4">
        <v>800159.49000000011</v>
      </c>
      <c r="J229" s="4">
        <v>2.4809000000000001</v>
      </c>
      <c r="K229" s="4">
        <v>35.701700000000002</v>
      </c>
      <c r="L229" s="7">
        <v>1</v>
      </c>
      <c r="M229" s="4">
        <v>195.3441</v>
      </c>
      <c r="N229" s="4">
        <v>14.19058518474837</v>
      </c>
      <c r="O229" s="4">
        <v>4.3988363882000101E-2</v>
      </c>
      <c r="P229" s="7">
        <v>8.663456098243047E-2</v>
      </c>
      <c r="Q229" s="4">
        <v>0.85426971683448216</v>
      </c>
      <c r="R229" s="3">
        <v>8.7260163486364787E-3</v>
      </c>
      <c r="S229" s="33">
        <v>0.21328775065622899</v>
      </c>
      <c r="T229" s="5">
        <v>38.5</v>
      </c>
      <c r="U229" s="34">
        <v>0.17849286666666667</v>
      </c>
      <c r="V229">
        <v>6.4489751802431599</v>
      </c>
      <c r="W229" s="34"/>
    </row>
    <row r="230" spans="1:23" ht="16" x14ac:dyDescent="0.2">
      <c r="A230" s="2" t="s">
        <v>69</v>
      </c>
      <c r="B230" s="5">
        <v>2022</v>
      </c>
      <c r="C230" s="4">
        <v>12.194208733957698</v>
      </c>
      <c r="D230" s="4">
        <v>1.4851085849319545</v>
      </c>
      <c r="E230" s="13">
        <v>9.9538387132470079E-3</v>
      </c>
      <c r="F230" s="4">
        <v>1.0119</v>
      </c>
      <c r="G230" s="4">
        <v>2509725</v>
      </c>
      <c r="H230" s="7">
        <v>-36.74780552582321</v>
      </c>
      <c r="I230" s="4">
        <v>840815.37000000011</v>
      </c>
      <c r="J230" s="4">
        <v>2.403</v>
      </c>
      <c r="K230" s="4">
        <v>35.667900000000003</v>
      </c>
      <c r="L230" s="7">
        <v>1</v>
      </c>
      <c r="M230" s="4">
        <v>135.87790000000001</v>
      </c>
      <c r="N230" s="4">
        <v>14.200568856294776</v>
      </c>
      <c r="O230" s="4">
        <v>4.2184177792286413E-2</v>
      </c>
      <c r="P230" s="7">
        <v>5.5931556573213699E-2</v>
      </c>
      <c r="Q230" s="4">
        <v>0.83121140741049693</v>
      </c>
      <c r="R230" s="3">
        <v>7.9710650811758311E-3</v>
      </c>
      <c r="S230" s="33">
        <v>8.0082772214906672E-3</v>
      </c>
      <c r="T230" s="5">
        <v>38.299999999999997</v>
      </c>
      <c r="U230" s="34">
        <v>0.37974000833333332</v>
      </c>
      <c r="V230">
        <v>6.7371581123711897</v>
      </c>
      <c r="W230" s="34"/>
    </row>
    <row r="231" spans="1:23" x14ac:dyDescent="0.2">
      <c r="A231" s="2"/>
      <c r="C231" s="4"/>
      <c r="D231" s="4"/>
      <c r="E231" s="13"/>
      <c r="F231" s="4"/>
      <c r="G231" s="4"/>
      <c r="I231" s="4"/>
      <c r="J231" s="4"/>
      <c r="K231" s="4"/>
      <c r="L231" s="7"/>
      <c r="M231" s="4"/>
      <c r="N231" s="4"/>
      <c r="O231" s="4"/>
      <c r="Q231" s="4"/>
      <c r="R231" s="3"/>
      <c r="W231" s="34"/>
    </row>
    <row r="232" spans="1:23" ht="16" x14ac:dyDescent="0.2">
      <c r="A232" s="2" t="s">
        <v>77</v>
      </c>
      <c r="B232" s="5">
        <v>2014</v>
      </c>
      <c r="C232" s="4">
        <v>7.2666222517525085</v>
      </c>
      <c r="D232" s="4">
        <v>-24.752402584392978</v>
      </c>
      <c r="E232" s="13">
        <v>0.26591865932971026</v>
      </c>
      <c r="F232" s="4">
        <v>0.99980000000000002</v>
      </c>
      <c r="G232" s="4">
        <v>1676756</v>
      </c>
      <c r="H232" s="7">
        <v>-18.214285365884589</v>
      </c>
      <c r="I232" s="4">
        <v>693025.74</v>
      </c>
      <c r="J232" s="4">
        <v>2.3574000000000002</v>
      </c>
      <c r="K232" s="4">
        <v>40.383600000000001</v>
      </c>
      <c r="L232" s="7">
        <v>1</v>
      </c>
      <c r="M232" s="4">
        <v>327.9606</v>
      </c>
      <c r="N232" s="4">
        <v>13.825262849406952</v>
      </c>
      <c r="O232" s="4">
        <v>2.2422477239164032E-2</v>
      </c>
      <c r="P232" s="7">
        <v>5.0093918310237094E-2</v>
      </c>
      <c r="Q232" s="4">
        <v>1.8120984949708649</v>
      </c>
      <c r="R232" s="3">
        <v>8.435455880846876E-3</v>
      </c>
      <c r="S232" s="33">
        <v>9.457781607341903E-2</v>
      </c>
      <c r="T232" s="5">
        <v>99.9</v>
      </c>
      <c r="U232" s="34">
        <v>0.12046267500000001</v>
      </c>
      <c r="V232">
        <v>6.1434340944886703</v>
      </c>
      <c r="W232" s="34"/>
    </row>
    <row r="233" spans="1:23" ht="16" x14ac:dyDescent="0.2">
      <c r="A233" s="2" t="s">
        <v>77</v>
      </c>
      <c r="B233" s="5">
        <v>2015</v>
      </c>
      <c r="C233" s="4">
        <v>6.7240355048179294</v>
      </c>
      <c r="D233" s="4">
        <v>6.7293619028211893</v>
      </c>
      <c r="E233" s="13">
        <v>-4.7791319612941363E-2</v>
      </c>
      <c r="F233" s="4">
        <v>0.98499999999999999</v>
      </c>
      <c r="G233" s="4">
        <v>2114039</v>
      </c>
      <c r="H233" s="7">
        <v>26.079107514748717</v>
      </c>
      <c r="I233" s="4">
        <v>866327.95</v>
      </c>
      <c r="J233" s="4">
        <v>2.2162000000000002</v>
      </c>
      <c r="K233" s="4">
        <v>41.501399999999997</v>
      </c>
      <c r="L233" s="7">
        <v>1</v>
      </c>
      <c r="M233" s="4">
        <v>339.85950000000003</v>
      </c>
      <c r="N233" s="4">
        <v>13.913453632294239</v>
      </c>
      <c r="O233" s="4">
        <v>2.3492170664928144E-2</v>
      </c>
      <c r="P233" s="7">
        <v>4.6235429826417221E-2</v>
      </c>
      <c r="Q233" s="4">
        <v>1.8729519591063022</v>
      </c>
      <c r="R233" s="3">
        <v>8.1375086987164145E-3</v>
      </c>
      <c r="S233" s="33">
        <v>5.5934460075526035E-2</v>
      </c>
      <c r="T233" s="5">
        <v>40.6</v>
      </c>
      <c r="U233" s="34">
        <v>0.11306368333333332</v>
      </c>
      <c r="V233">
        <v>6.22748867298455</v>
      </c>
      <c r="W233" s="34"/>
    </row>
    <row r="234" spans="1:23" ht="16" x14ac:dyDescent="0.2">
      <c r="A234" s="2" t="s">
        <v>77</v>
      </c>
      <c r="B234" s="5">
        <v>2016</v>
      </c>
      <c r="C234" s="4">
        <v>5.9223298083885041</v>
      </c>
      <c r="D234" s="4">
        <v>3.631464302193713</v>
      </c>
      <c r="E234" s="13">
        <v>-2.0534558106044761E-2</v>
      </c>
      <c r="F234" s="4">
        <v>0.98009999999999997</v>
      </c>
      <c r="G234" s="4">
        <v>2806600</v>
      </c>
      <c r="H234" s="7">
        <v>32.760086261417129</v>
      </c>
      <c r="I234" s="4">
        <v>899214.34000000008</v>
      </c>
      <c r="J234" s="4">
        <v>1.881</v>
      </c>
      <c r="K234" s="4">
        <v>40.972099999999998</v>
      </c>
      <c r="L234" s="7">
        <v>1</v>
      </c>
      <c r="M234" s="4">
        <v>394.54509999999999</v>
      </c>
      <c r="N234" s="4">
        <v>14.006874442742458</v>
      </c>
      <c r="O234" s="4">
        <v>2.288909061026367E-2</v>
      </c>
      <c r="P234" s="7">
        <v>3.7595676204927542E-2</v>
      </c>
      <c r="Q234" s="4">
        <v>1.8017183289151051</v>
      </c>
      <c r="R234" s="3">
        <v>8.128521082987351E-3</v>
      </c>
      <c r="S234" s="33">
        <v>1.5525894567969992E-2</v>
      </c>
      <c r="T234" s="5">
        <v>40.6</v>
      </c>
      <c r="U234" s="34">
        <v>0.10788815833333336</v>
      </c>
      <c r="V234">
        <v>6.6444778294468003</v>
      </c>
      <c r="W234" s="34"/>
    </row>
    <row r="235" spans="1:23" ht="16" x14ac:dyDescent="0.2">
      <c r="A235" s="2" t="s">
        <v>77</v>
      </c>
      <c r="B235" s="5">
        <v>2017</v>
      </c>
      <c r="C235" s="4">
        <v>5.5488294062008165</v>
      </c>
      <c r="D235" s="4">
        <v>7.6187480473981616E-3</v>
      </c>
      <c r="E235" s="13">
        <v>9.8039391371061609E-3</v>
      </c>
      <c r="F235" s="4">
        <v>0.97809999999999997</v>
      </c>
      <c r="G235" s="4">
        <v>3194395</v>
      </c>
      <c r="H235" s="7">
        <v>13.817252191263451</v>
      </c>
      <c r="I235" s="4">
        <v>1028211.82</v>
      </c>
      <c r="J235" s="4">
        <v>1.5094000000000001</v>
      </c>
      <c r="K235" s="4">
        <v>42.373100000000001</v>
      </c>
      <c r="L235" s="7">
        <v>1</v>
      </c>
      <c r="M235" s="4">
        <v>396.98820000000001</v>
      </c>
      <c r="N235" s="4">
        <v>14.144166613385481</v>
      </c>
      <c r="O235" s="4">
        <v>2.2978904221314506E-2</v>
      </c>
      <c r="P235" s="7">
        <v>2.5314382628586998E-2</v>
      </c>
      <c r="Q235" s="4">
        <v>2.2773988585600327</v>
      </c>
      <c r="R235" s="3">
        <v>8.2239783180405104E-3</v>
      </c>
      <c r="S235" s="33">
        <v>9.5891306540979396E-2</v>
      </c>
      <c r="T235" s="5">
        <v>39.299999999999997</v>
      </c>
      <c r="U235" s="34">
        <v>0.10495592499999999</v>
      </c>
      <c r="V235">
        <v>6.7587550863359702</v>
      </c>
      <c r="W235" s="34"/>
    </row>
    <row r="236" spans="1:23" ht="16" x14ac:dyDescent="0.2">
      <c r="A236" s="2" t="s">
        <v>77</v>
      </c>
      <c r="B236" s="5">
        <v>2018</v>
      </c>
      <c r="C236" s="4">
        <v>5.4667410626237842</v>
      </c>
      <c r="D236" s="4">
        <v>-3.6532059994716939E-2</v>
      </c>
      <c r="E236" s="13">
        <v>1.4016833365283064E-2</v>
      </c>
      <c r="F236" s="4">
        <v>0.9748</v>
      </c>
      <c r="G236" s="4">
        <v>3372944</v>
      </c>
      <c r="H236" s="7">
        <v>5.5894465149112742</v>
      </c>
      <c r="I236" s="4">
        <v>1054164.48</v>
      </c>
      <c r="J236" s="4">
        <v>1.5059</v>
      </c>
      <c r="K236" s="4">
        <v>39.921700000000001</v>
      </c>
      <c r="L236" s="7">
        <v>1</v>
      </c>
      <c r="M236" s="4">
        <v>353.24</v>
      </c>
      <c r="N236" s="4">
        <v>14.141643816790308</v>
      </c>
      <c r="O236" s="4">
        <v>2.3043005040547685E-2</v>
      </c>
      <c r="P236" s="7">
        <v>2.5542204871367959E-2</v>
      </c>
      <c r="Q236" s="4">
        <v>2.5390959865302576</v>
      </c>
      <c r="R236" s="3">
        <v>7.8804016108390395E-3</v>
      </c>
      <c r="S236" s="33">
        <v>0.12870455661971003</v>
      </c>
      <c r="T236" s="5">
        <v>37.9</v>
      </c>
      <c r="U236" s="34">
        <v>0.14311219999999999</v>
      </c>
      <c r="V236">
        <v>6.6159571773543897</v>
      </c>
      <c r="W236" s="34"/>
    </row>
    <row r="237" spans="1:23" ht="16" x14ac:dyDescent="0.2">
      <c r="A237" s="2" t="s">
        <v>77</v>
      </c>
      <c r="B237" s="5">
        <v>2019</v>
      </c>
      <c r="C237" s="4">
        <v>5.5238242844469667</v>
      </c>
      <c r="D237" s="4">
        <v>-0.57301947922816243</v>
      </c>
      <c r="E237" s="13">
        <v>1.8471106826393489E-2</v>
      </c>
      <c r="F237" s="4">
        <v>0.9698</v>
      </c>
      <c r="G237" s="4">
        <v>6000585</v>
      </c>
      <c r="H237" s="7">
        <v>77.903487279954845</v>
      </c>
      <c r="I237" s="4">
        <v>1120787.75</v>
      </c>
      <c r="J237" s="4">
        <v>1.5832999999999999</v>
      </c>
      <c r="K237" s="4">
        <v>40.456699999999998</v>
      </c>
      <c r="L237" s="7">
        <v>1</v>
      </c>
      <c r="M237" s="4">
        <v>290.58049999999997</v>
      </c>
      <c r="N237" s="4">
        <v>14.167926444982623</v>
      </c>
      <c r="O237" s="4">
        <v>2.2740525343888915E-2</v>
      </c>
      <c r="P237" s="7">
        <v>1.6941902510958933E-2</v>
      </c>
      <c r="Q237" s="4">
        <v>2.5444831756619535</v>
      </c>
      <c r="R237" s="3">
        <v>8.0712769868486727E-3</v>
      </c>
      <c r="S237" s="33">
        <v>2.7712383170145276E-2</v>
      </c>
      <c r="T237" s="5">
        <v>37.700000000000003</v>
      </c>
      <c r="U237" s="34">
        <v>0.29669430000000002</v>
      </c>
      <c r="V237">
        <v>6.9083850099290096</v>
      </c>
      <c r="W237" s="34"/>
    </row>
    <row r="238" spans="1:23" ht="16" x14ac:dyDescent="0.2">
      <c r="A238" s="2" t="s">
        <v>77</v>
      </c>
      <c r="B238" s="5">
        <v>2020</v>
      </c>
      <c r="C238" s="4">
        <v>5.3086781472989379</v>
      </c>
      <c r="D238" s="4">
        <v>1.3356312161598844</v>
      </c>
      <c r="E238" s="13">
        <v>3.5013949736957973E-3</v>
      </c>
      <c r="F238" s="4">
        <v>0.95920000000000005</v>
      </c>
      <c r="G238" s="4">
        <v>5537241</v>
      </c>
      <c r="H238" s="7">
        <v>-7.7216471394039088</v>
      </c>
      <c r="I238" s="4">
        <v>1496807.37</v>
      </c>
      <c r="J238" s="4">
        <v>1.5654999999999999</v>
      </c>
      <c r="K238" s="4">
        <v>40.340499999999999</v>
      </c>
      <c r="L238" s="7">
        <v>1</v>
      </c>
      <c r="M238" s="4">
        <v>262.66879999999998</v>
      </c>
      <c r="N238" s="4">
        <v>14.309535843051918</v>
      </c>
      <c r="O238" s="4">
        <v>2.1861616023454978E-2</v>
      </c>
      <c r="P238" s="7">
        <v>2.869739414542137E-2</v>
      </c>
      <c r="Q238" s="4">
        <v>2.5029871435383941</v>
      </c>
      <c r="R238" s="3">
        <v>8.0762653841324021E-3</v>
      </c>
      <c r="S238" s="33">
        <v>2.8555740275520065E-2</v>
      </c>
      <c r="T238" s="5">
        <v>37.9</v>
      </c>
      <c r="U238" s="34">
        <v>0.27519169999999998</v>
      </c>
      <c r="V238">
        <v>6.9007672694492497</v>
      </c>
    </row>
    <row r="239" spans="1:23" ht="16" x14ac:dyDescent="0.2">
      <c r="A239" s="2" t="s">
        <v>77</v>
      </c>
      <c r="B239" s="5">
        <v>2021</v>
      </c>
      <c r="C239" s="4">
        <v>5.4671530324559106</v>
      </c>
      <c r="D239" s="4">
        <v>-3.3902958535475936</v>
      </c>
      <c r="E239" s="13">
        <v>4.7724743635056605E-2</v>
      </c>
      <c r="F239" s="4">
        <v>0.95930000000000004</v>
      </c>
      <c r="G239" s="4">
        <v>7127629</v>
      </c>
      <c r="H239" s="7">
        <v>28.721668426568392</v>
      </c>
      <c r="I239" s="4">
        <v>1522831.38</v>
      </c>
      <c r="J239" s="4">
        <v>1.5565</v>
      </c>
      <c r="K239" s="4">
        <v>39.7438</v>
      </c>
      <c r="L239" s="7">
        <v>1</v>
      </c>
      <c r="M239" s="4">
        <v>253.07910000000001</v>
      </c>
      <c r="N239" s="4">
        <v>14.42277299936705</v>
      </c>
      <c r="O239" s="4">
        <v>2.2590860478635792E-2</v>
      </c>
      <c r="P239" s="7">
        <v>1.66457297194312E-2</v>
      </c>
      <c r="Q239" s="4">
        <v>2.3051706808788617</v>
      </c>
      <c r="R239" s="3">
        <v>8.2705158009084238E-3</v>
      </c>
      <c r="S239" s="33">
        <v>0.21328775065622899</v>
      </c>
      <c r="T239" s="5">
        <v>38.5</v>
      </c>
      <c r="U239" s="34">
        <v>0.17849286666666667</v>
      </c>
      <c r="V239">
        <v>6.4489751802431599</v>
      </c>
      <c r="W239" s="34"/>
    </row>
    <row r="240" spans="1:23" ht="16" x14ac:dyDescent="0.2">
      <c r="A240" s="2" t="s">
        <v>77</v>
      </c>
      <c r="B240" s="5">
        <v>2022</v>
      </c>
      <c r="C240" s="4">
        <v>5.214221379379512</v>
      </c>
      <c r="D240" s="4">
        <v>19.957246652469991</v>
      </c>
      <c r="E240" s="13">
        <v>-0.18576697908246828</v>
      </c>
      <c r="F240" s="4">
        <v>0.95979999999999999</v>
      </c>
      <c r="G240" s="4">
        <v>6483671</v>
      </c>
      <c r="H240" s="7">
        <v>-9.0346733815691032</v>
      </c>
      <c r="I240" s="4">
        <v>1428218.8799999999</v>
      </c>
      <c r="J240" s="4">
        <v>1.4763999999999999</v>
      </c>
      <c r="K240" s="4">
        <v>42.872300000000003</v>
      </c>
      <c r="L240" s="7">
        <v>1</v>
      </c>
      <c r="M240" s="4">
        <v>248.9091</v>
      </c>
      <c r="N240" s="4">
        <v>14.448483015488149</v>
      </c>
      <c r="O240" s="4">
        <v>2.2752331202774714E-2</v>
      </c>
      <c r="P240" s="7">
        <v>1.9147411744425153E-2</v>
      </c>
      <c r="Q240" s="4">
        <v>2.540926545917559</v>
      </c>
      <c r="R240" s="3">
        <v>8.1529904704149628E-3</v>
      </c>
      <c r="S240" s="33">
        <v>8.0082772214906672E-3</v>
      </c>
      <c r="T240" s="5">
        <v>38.299999999999997</v>
      </c>
      <c r="U240" s="34">
        <v>0.37974000833333332</v>
      </c>
      <c r="V240">
        <v>6.7371581123711897</v>
      </c>
      <c r="W240" s="34"/>
    </row>
    <row r="241" spans="1:23" x14ac:dyDescent="0.2">
      <c r="A241" s="2"/>
      <c r="C241" s="4"/>
      <c r="D241" s="4"/>
      <c r="E241" s="13"/>
      <c r="F241" s="4"/>
      <c r="G241" s="4"/>
      <c r="I241" s="4"/>
      <c r="J241" s="4"/>
      <c r="K241" s="4"/>
      <c r="L241" s="7"/>
      <c r="M241" s="4"/>
      <c r="N241" s="4"/>
      <c r="O241" s="4"/>
      <c r="Q241" s="4"/>
      <c r="R241" s="3"/>
      <c r="W241" s="34"/>
    </row>
    <row r="242" spans="1:23" ht="16" x14ac:dyDescent="0.2">
      <c r="A242" s="2" t="s">
        <v>78</v>
      </c>
      <c r="B242" s="5">
        <v>2014</v>
      </c>
      <c r="C242" s="4">
        <v>10.291162403767924</v>
      </c>
      <c r="D242" s="4">
        <v>1.2242783917187512</v>
      </c>
      <c r="E242" s="13">
        <v>7.4226153689038732E-3</v>
      </c>
      <c r="F242" s="4">
        <v>1.0127999999999999</v>
      </c>
      <c r="G242" s="4">
        <v>1425552</v>
      </c>
      <c r="H242" s="7">
        <v>61.417660746536527</v>
      </c>
      <c r="I242" s="4">
        <v>282596.16618371999</v>
      </c>
      <c r="J242" s="4">
        <v>2.4767000000000001</v>
      </c>
      <c r="K242" s="4">
        <v>33.070599999999999</v>
      </c>
      <c r="L242" s="7">
        <v>1</v>
      </c>
      <c r="M242" s="4">
        <v>637.88379999999995</v>
      </c>
      <c r="N242" s="4">
        <v>13.472826231887533</v>
      </c>
      <c r="O242" s="4">
        <v>2.7552995897453414E-2</v>
      </c>
      <c r="P242" s="7">
        <v>8.1144319780019666E-2</v>
      </c>
      <c r="Q242" s="4">
        <v>2.0667823550511599</v>
      </c>
      <c r="R242" s="3">
        <v>7.0251445109830099E-3</v>
      </c>
      <c r="S242" s="33">
        <v>9.457781607341903E-2</v>
      </c>
      <c r="T242" s="5">
        <v>99.9</v>
      </c>
      <c r="U242" s="34">
        <v>0.12046267500000001</v>
      </c>
      <c r="V242">
        <v>6.1434340944886703</v>
      </c>
      <c r="W242" s="34"/>
    </row>
    <row r="243" spans="1:23" ht="16" x14ac:dyDescent="0.2">
      <c r="A243" s="2" t="s">
        <v>78</v>
      </c>
      <c r="B243" s="5">
        <v>2015</v>
      </c>
      <c r="C243" s="4">
        <v>9.192142453798029</v>
      </c>
      <c r="D243" s="4">
        <v>1.3527620667322386</v>
      </c>
      <c r="E243" s="13">
        <v>1.6360419899865145E-2</v>
      </c>
      <c r="F243" s="4">
        <v>1.0022</v>
      </c>
      <c r="G243" s="4">
        <v>1964403</v>
      </c>
      <c r="H243" s="7">
        <v>37.799462944880297</v>
      </c>
      <c r="I243" s="4">
        <v>400468.72662028996</v>
      </c>
      <c r="J243" s="4">
        <v>2.4510999999999998</v>
      </c>
      <c r="K243" s="4">
        <v>32.462000000000003</v>
      </c>
      <c r="L243" s="7">
        <v>1</v>
      </c>
      <c r="M243" s="4">
        <v>756.17830000000004</v>
      </c>
      <c r="N243" s="4">
        <v>13.613128786924669</v>
      </c>
      <c r="O243" s="4">
        <v>3.0676494740423204E-2</v>
      </c>
      <c r="P243" s="7">
        <v>8.8003899069911906E-2</v>
      </c>
      <c r="Q243" s="4">
        <v>2.1769888724544129</v>
      </c>
      <c r="R243" s="3">
        <v>7.1636969098131786E-3</v>
      </c>
      <c r="S243" s="33">
        <v>5.5934460075526035E-2</v>
      </c>
      <c r="T243" s="5">
        <v>40.6</v>
      </c>
      <c r="U243" s="34">
        <v>0.11306368333333332</v>
      </c>
      <c r="V243">
        <v>6.22748867298455</v>
      </c>
      <c r="W243" s="34"/>
    </row>
    <row r="244" spans="1:23" ht="16" x14ac:dyDescent="0.2">
      <c r="A244" s="2" t="s">
        <v>78</v>
      </c>
      <c r="B244" s="5">
        <v>2016</v>
      </c>
      <c r="C244" s="4">
        <v>8.4340879452590176</v>
      </c>
      <c r="D244" s="4">
        <v>0.47621683050047225</v>
      </c>
      <c r="E244" s="13">
        <v>6.6335683084347719E-3</v>
      </c>
      <c r="F244" s="4">
        <v>0.99729999999999996</v>
      </c>
      <c r="G244" s="4">
        <v>2355635</v>
      </c>
      <c r="H244" s="7">
        <v>19.916076283736075</v>
      </c>
      <c r="I244" s="4">
        <v>495925.41791130003</v>
      </c>
      <c r="J244" s="4">
        <v>2.1145</v>
      </c>
      <c r="K244" s="4">
        <v>27.9998</v>
      </c>
      <c r="L244" s="7">
        <v>1</v>
      </c>
      <c r="M244" s="4">
        <v>826.85450000000003</v>
      </c>
      <c r="N244" s="4">
        <v>13.684225810712444</v>
      </c>
      <c r="O244" s="4">
        <v>3.4833884295079359E-2</v>
      </c>
      <c r="P244" s="7">
        <v>7.1053015929519139E-2</v>
      </c>
      <c r="Q244" s="4">
        <v>1.9481989109236444</v>
      </c>
      <c r="R244" s="3">
        <v>7.7180246485312222E-3</v>
      </c>
      <c r="S244" s="33">
        <v>1.5525894567969992E-2</v>
      </c>
      <c r="T244" s="5">
        <v>40.6</v>
      </c>
      <c r="U244" s="34">
        <v>0.10788815833333336</v>
      </c>
      <c r="V244">
        <v>6.6444778294468003</v>
      </c>
      <c r="W244" s="34"/>
    </row>
    <row r="245" spans="1:23" ht="16" x14ac:dyDescent="0.2">
      <c r="A245" s="2" t="s">
        <v>78</v>
      </c>
      <c r="B245" s="5">
        <v>2017</v>
      </c>
      <c r="C245" s="4">
        <v>8.2379570057753231</v>
      </c>
      <c r="D245" s="4">
        <v>0.75590088813620682</v>
      </c>
      <c r="E245" s="13">
        <v>1.7700956300429004E-3</v>
      </c>
      <c r="F245" s="4">
        <v>0.99409999999999998</v>
      </c>
      <c r="G245" s="4">
        <v>4354535</v>
      </c>
      <c r="H245" s="7">
        <v>84.856100372086502</v>
      </c>
      <c r="I245" s="4">
        <v>594080.81220551999</v>
      </c>
      <c r="J245" s="4">
        <v>1.488</v>
      </c>
      <c r="K245" s="4">
        <v>30.245899999999999</v>
      </c>
      <c r="L245" s="7">
        <v>1</v>
      </c>
      <c r="M245" s="4">
        <v>652.58169999999996</v>
      </c>
      <c r="N245" s="4">
        <v>13.801604239071656</v>
      </c>
      <c r="O245" s="4">
        <v>3.3679256284400119E-2</v>
      </c>
      <c r="P245" s="7">
        <v>8.467505219037344E-2</v>
      </c>
      <c r="Q245" s="4">
        <v>2.544799362254595</v>
      </c>
      <c r="R245" s="3">
        <v>7.8245071938258109E-3</v>
      </c>
      <c r="S245" s="33">
        <v>9.5891306540979396E-2</v>
      </c>
      <c r="T245" s="5">
        <v>39.299999999999997</v>
      </c>
      <c r="U245" s="34">
        <v>0.10495592499999999</v>
      </c>
      <c r="V245">
        <v>6.7587550863359702</v>
      </c>
      <c r="W245" s="34"/>
    </row>
    <row r="246" spans="1:23" ht="16" x14ac:dyDescent="0.2">
      <c r="A246" s="2" t="s">
        <v>78</v>
      </c>
      <c r="B246" s="5">
        <v>2018</v>
      </c>
      <c r="C246" s="4">
        <v>8.3473963959462676</v>
      </c>
      <c r="D246" s="4">
        <v>0.69467827612122879</v>
      </c>
      <c r="E246" s="13">
        <v>7.7064836650857895E-3</v>
      </c>
      <c r="F246" s="4">
        <v>0.98070000000000002</v>
      </c>
      <c r="G246" s="4">
        <v>6639033</v>
      </c>
      <c r="H246" s="7">
        <v>52.462501736695188</v>
      </c>
      <c r="I246" s="4">
        <v>670824.18947500002</v>
      </c>
      <c r="J246" s="4">
        <v>1.5706</v>
      </c>
      <c r="K246" s="4">
        <v>30.434000000000001</v>
      </c>
      <c r="L246" s="7">
        <v>1</v>
      </c>
      <c r="M246" s="4">
        <v>587.4769</v>
      </c>
      <c r="N246" s="4">
        <v>13.790955818358986</v>
      </c>
      <c r="O246" s="4">
        <v>3.2595203575575243E-2</v>
      </c>
      <c r="P246" s="7">
        <v>8.1806514645457809E-2</v>
      </c>
      <c r="Q246" s="4">
        <v>2.5857144907578244</v>
      </c>
      <c r="R246" s="3">
        <v>8.855547853225185E-3</v>
      </c>
      <c r="S246" s="33">
        <v>0.12870455661971003</v>
      </c>
      <c r="T246" s="5">
        <v>37.9</v>
      </c>
      <c r="U246" s="34">
        <v>0.14311219999999999</v>
      </c>
      <c r="V246">
        <v>6.6159571773543897</v>
      </c>
      <c r="W246" s="34"/>
    </row>
    <row r="247" spans="1:23" ht="16" x14ac:dyDescent="0.2">
      <c r="A247" s="2" t="s">
        <v>78</v>
      </c>
      <c r="B247" s="5">
        <v>2019</v>
      </c>
      <c r="C247" s="4">
        <v>8.6304831347366111</v>
      </c>
      <c r="D247" s="4">
        <v>0.96992861615354331</v>
      </c>
      <c r="E247" s="13">
        <v>7.1178572184974545E-3</v>
      </c>
      <c r="F247" s="4">
        <v>0.98960000000000004</v>
      </c>
      <c r="G247" s="4">
        <v>7452964</v>
      </c>
      <c r="H247" s="7">
        <v>12.25978241108306</v>
      </c>
      <c r="I247" s="4">
        <v>761440.4</v>
      </c>
      <c r="J247" s="4">
        <v>1.9679</v>
      </c>
      <c r="K247" s="4">
        <v>31.254799999999999</v>
      </c>
      <c r="L247" s="7">
        <v>1</v>
      </c>
      <c r="M247" s="4">
        <v>488.7593</v>
      </c>
      <c r="N247" s="4">
        <v>13.841373217490002</v>
      </c>
      <c r="O247" s="4">
        <v>2.7973956338372314E-2</v>
      </c>
      <c r="P247" s="7">
        <v>0.13064393913937594</v>
      </c>
      <c r="Q247" s="4">
        <v>2.2506987461917651</v>
      </c>
      <c r="R247" s="3">
        <v>9.0571968353469687E-3</v>
      </c>
      <c r="S247" s="33">
        <v>2.7712383170145276E-2</v>
      </c>
      <c r="T247" s="5">
        <v>37.700000000000003</v>
      </c>
      <c r="U247" s="34">
        <v>0.29669430000000002</v>
      </c>
      <c r="V247">
        <v>6.9083850099290096</v>
      </c>
      <c r="W247" s="34"/>
    </row>
    <row r="248" spans="1:23" ht="16" x14ac:dyDescent="0.2">
      <c r="A248" s="2" t="s">
        <v>78</v>
      </c>
      <c r="B248" s="5">
        <v>2020</v>
      </c>
      <c r="C248" s="4">
        <v>8.1058273713805811</v>
      </c>
      <c r="D248" s="4">
        <v>-28.94872931272937</v>
      </c>
      <c r="E248" s="13">
        <v>0.3115645639460734</v>
      </c>
      <c r="F248" s="4">
        <v>0.98780000000000001</v>
      </c>
      <c r="G248" s="4">
        <v>7044232</v>
      </c>
      <c r="H248" s="7">
        <v>-5.4841536870431682</v>
      </c>
      <c r="I248" s="4">
        <v>760712.6</v>
      </c>
      <c r="J248" s="4">
        <v>2.1295000000000002</v>
      </c>
      <c r="K248" s="4">
        <v>30.452200000000001</v>
      </c>
      <c r="L248" s="7">
        <v>1</v>
      </c>
      <c r="M248" s="4">
        <v>486.30450000000002</v>
      </c>
      <c r="N248" s="4">
        <v>14.00563492682125</v>
      </c>
      <c r="O248" s="4">
        <v>2.4801080395376478E-2</v>
      </c>
      <c r="P248" s="7">
        <v>0.1211534404692593</v>
      </c>
      <c r="Q248" s="4">
        <v>2.0939483931554896</v>
      </c>
      <c r="R248" s="3">
        <v>9.6949262028963867E-3</v>
      </c>
      <c r="S248" s="33">
        <v>2.8555740275520065E-2</v>
      </c>
      <c r="T248" s="5">
        <v>37.9</v>
      </c>
      <c r="U248" s="34">
        <v>0.27519169999999998</v>
      </c>
      <c r="V248">
        <v>6.9007672694492497</v>
      </c>
      <c r="W248" s="34"/>
    </row>
    <row r="249" spans="1:23" ht="16" x14ac:dyDescent="0.2">
      <c r="A249" s="2" t="s">
        <v>78</v>
      </c>
      <c r="B249" s="5">
        <v>2021</v>
      </c>
      <c r="C249" s="4">
        <v>9.0964768762498522</v>
      </c>
      <c r="D249" s="4">
        <v>1.3556717450517244</v>
      </c>
      <c r="E249" s="13">
        <v>8.289467075018828E-3</v>
      </c>
      <c r="F249" s="4">
        <v>0.97640000000000005</v>
      </c>
      <c r="G249" s="4">
        <v>6890250</v>
      </c>
      <c r="H249" s="7">
        <v>-2.1859302760045383</v>
      </c>
      <c r="I249" s="4">
        <v>766351.70000000007</v>
      </c>
      <c r="J249" s="4">
        <v>2.0306000000000002</v>
      </c>
      <c r="K249" s="4">
        <v>29.6722</v>
      </c>
      <c r="L249" s="7">
        <v>1</v>
      </c>
      <c r="M249" s="4">
        <v>491.40269999999998</v>
      </c>
      <c r="N249" s="4">
        <v>14.118204388036492</v>
      </c>
      <c r="O249" s="4">
        <v>2.6619721856972256E-2</v>
      </c>
      <c r="P249" s="7">
        <v>4.624442105605546E-2</v>
      </c>
      <c r="Q249" s="4">
        <v>1.784252417091247</v>
      </c>
      <c r="R249" s="3">
        <v>1.014025733437183E-2</v>
      </c>
      <c r="S249" s="33">
        <v>0.21328775065622899</v>
      </c>
      <c r="T249" s="5">
        <v>38.5</v>
      </c>
      <c r="U249" s="34">
        <v>0.17849286666666667</v>
      </c>
      <c r="V249">
        <v>6.4489751802431599</v>
      </c>
      <c r="W249" s="34"/>
    </row>
    <row r="250" spans="1:23" ht="16" x14ac:dyDescent="0.2">
      <c r="A250" s="2" t="s">
        <v>78</v>
      </c>
      <c r="B250" s="5">
        <v>2022</v>
      </c>
      <c r="C250" s="4">
        <v>9.2755039411996929</v>
      </c>
      <c r="D250" s="4">
        <v>0.30857138929470002</v>
      </c>
      <c r="E250" s="13">
        <v>1.679823278099762E-2</v>
      </c>
      <c r="F250" s="4">
        <v>0.96819999999999995</v>
      </c>
      <c r="G250" s="4">
        <v>6842581</v>
      </c>
      <c r="H250" s="7">
        <v>-0.69183266209498928</v>
      </c>
      <c r="I250" s="4">
        <v>789860.39999999991</v>
      </c>
      <c r="J250" s="4">
        <v>1.8383</v>
      </c>
      <c r="K250" s="4">
        <v>32.145600000000002</v>
      </c>
      <c r="L250" s="7">
        <v>1</v>
      </c>
      <c r="M250" s="4">
        <v>470.33929999999998</v>
      </c>
      <c r="N250" s="4">
        <v>14.110639831051104</v>
      </c>
      <c r="O250" s="4">
        <v>2.5303202675050283E-2</v>
      </c>
      <c r="P250" s="7">
        <v>4.3679582080470222E-2</v>
      </c>
      <c r="Q250" s="4">
        <v>1.7313346942748944</v>
      </c>
      <c r="R250" s="3">
        <v>1.0386110912018751E-2</v>
      </c>
      <c r="S250" s="33">
        <v>8.0082772214906672E-3</v>
      </c>
      <c r="T250" s="5">
        <v>38.299999999999997</v>
      </c>
      <c r="U250" s="34">
        <v>0.37974000833333332</v>
      </c>
      <c r="V250">
        <v>6.7371581123711897</v>
      </c>
    </row>
    <row r="251" spans="1:23" x14ac:dyDescent="0.2">
      <c r="A251" s="2"/>
      <c r="C251" s="4"/>
      <c r="D251" s="4"/>
      <c r="E251" s="13"/>
      <c r="F251" s="4"/>
      <c r="G251" s="4"/>
      <c r="I251" s="4"/>
      <c r="J251" s="4"/>
      <c r="K251" s="4"/>
      <c r="L251" s="7"/>
      <c r="M251" s="4"/>
      <c r="N251" s="4"/>
      <c r="O251" s="4"/>
      <c r="Q251" s="4"/>
      <c r="R251" s="3"/>
      <c r="W251" s="34"/>
    </row>
    <row r="252" spans="1:23" ht="16" x14ac:dyDescent="0.2">
      <c r="A252" s="2" t="s">
        <v>79</v>
      </c>
      <c r="B252" s="5">
        <v>2014</v>
      </c>
      <c r="C252" s="4">
        <v>6.3625453706213175</v>
      </c>
      <c r="D252" s="4">
        <v>-35.959229248408356</v>
      </c>
      <c r="E252" s="13">
        <v>0.38150206792993052</v>
      </c>
      <c r="F252" s="4">
        <v>1.0179</v>
      </c>
      <c r="G252" s="4">
        <v>442165.83199999999</v>
      </c>
      <c r="H252" s="7">
        <v>6.3502028853023971</v>
      </c>
      <c r="I252" s="4">
        <v>458394.06394375005</v>
      </c>
      <c r="J252" s="4">
        <v>2.4022999999999999</v>
      </c>
      <c r="K252" s="4">
        <v>37.971400000000003</v>
      </c>
      <c r="L252" s="7">
        <v>1</v>
      </c>
      <c r="M252" s="4">
        <v>335.98180000000002</v>
      </c>
      <c r="N252" s="4">
        <v>13.410177944228343</v>
      </c>
      <c r="O252" s="4">
        <v>2.3573203174970758E-2</v>
      </c>
      <c r="P252" s="7">
        <v>1.2092285376719202E-2</v>
      </c>
      <c r="Q252" s="4">
        <v>2.0396910101349333</v>
      </c>
      <c r="R252" s="3">
        <v>7.5852428662715431E-3</v>
      </c>
      <c r="S252" s="33">
        <v>9.457781607341903E-2</v>
      </c>
      <c r="T252" s="5">
        <v>99.9</v>
      </c>
      <c r="U252" s="34">
        <v>0.12046267500000001</v>
      </c>
      <c r="V252">
        <v>6.1434340944886703</v>
      </c>
      <c r="W252" s="34"/>
    </row>
    <row r="253" spans="1:23" ht="16" x14ac:dyDescent="0.2">
      <c r="A253" s="2" t="s">
        <v>79</v>
      </c>
      <c r="B253" s="5">
        <v>2015</v>
      </c>
      <c r="C253" s="4">
        <v>5.4489508296486449</v>
      </c>
      <c r="D253" s="4">
        <v>7.9161075833583272</v>
      </c>
      <c r="E253" s="13">
        <v>-6.2673105759373696E-2</v>
      </c>
      <c r="F253" s="4">
        <v>0.99509999999999998</v>
      </c>
      <c r="G253" s="4">
        <v>471349.92700000003</v>
      </c>
      <c r="H253" s="7">
        <v>6.6002601033179857</v>
      </c>
      <c r="I253" s="4">
        <v>555694.66046357993</v>
      </c>
      <c r="J253" s="4">
        <v>2.3109000000000002</v>
      </c>
      <c r="K253" s="4">
        <v>38.145600000000002</v>
      </c>
      <c r="L253" s="7">
        <v>1</v>
      </c>
      <c r="M253" s="4">
        <v>417.76429999999999</v>
      </c>
      <c r="N253" s="4">
        <v>13.579235304649199</v>
      </c>
      <c r="O253" s="4">
        <v>2.3923393951528562E-2</v>
      </c>
      <c r="P253" s="7">
        <v>8.4474211349128241E-3</v>
      </c>
      <c r="Q253" s="4">
        <v>2.0257895434821989</v>
      </c>
      <c r="R253" s="3">
        <v>7.5197840726651298E-3</v>
      </c>
      <c r="S253" s="33">
        <v>5.5934460075526035E-2</v>
      </c>
      <c r="T253" s="5">
        <v>40.6</v>
      </c>
      <c r="U253" s="34">
        <v>0.11306368333333332</v>
      </c>
      <c r="V253">
        <v>6.22748867298455</v>
      </c>
      <c r="W253" s="34"/>
    </row>
    <row r="254" spans="1:23" ht="16" x14ac:dyDescent="0.2">
      <c r="A254" s="2" t="s">
        <v>79</v>
      </c>
      <c r="B254" s="5">
        <v>2016</v>
      </c>
      <c r="C254" s="4">
        <v>4.6860198854879496</v>
      </c>
      <c r="D254" s="4">
        <v>2.3242319750822213</v>
      </c>
      <c r="E254" s="13">
        <v>-9.5933853346791501E-3</v>
      </c>
      <c r="F254" s="4">
        <v>0.98980000000000001</v>
      </c>
      <c r="G254" s="4">
        <v>352872.90600000002</v>
      </c>
      <c r="H254" s="7">
        <v>-25.135682475665259</v>
      </c>
      <c r="I254" s="4">
        <v>700047.99273764004</v>
      </c>
      <c r="J254" s="4">
        <v>1.9957</v>
      </c>
      <c r="K254" s="4">
        <v>32.030099999999997</v>
      </c>
      <c r="L254" s="7">
        <v>1</v>
      </c>
      <c r="M254" s="4">
        <v>384.16289999999998</v>
      </c>
      <c r="N254" s="4">
        <v>13.658453275189693</v>
      </c>
      <c r="O254" s="4">
        <v>2.6249102312386634E-2</v>
      </c>
      <c r="P254" s="7">
        <v>8.2262256859342176E-3</v>
      </c>
      <c r="Q254" s="4">
        <v>1.9658968028451071</v>
      </c>
      <c r="R254" s="3">
        <v>7.3440784664083958E-3</v>
      </c>
      <c r="S254" s="33">
        <v>1.5525894567969992E-2</v>
      </c>
      <c r="T254" s="5">
        <v>40.6</v>
      </c>
      <c r="U254" s="34">
        <v>0.10788815833333336</v>
      </c>
      <c r="V254">
        <v>6.6444778294468003</v>
      </c>
      <c r="W254" s="34"/>
    </row>
    <row r="255" spans="1:23" ht="16" x14ac:dyDescent="0.2">
      <c r="A255" s="2" t="s">
        <v>79</v>
      </c>
      <c r="B255" s="5">
        <v>2017</v>
      </c>
      <c r="C255" s="4">
        <v>4.6167821502949726</v>
      </c>
      <c r="D255" s="4">
        <v>2.353276173841054E-2</v>
      </c>
      <c r="E255" s="13">
        <v>9.4133361753068398E-3</v>
      </c>
      <c r="F255" s="4">
        <v>0.98370000000000002</v>
      </c>
      <c r="G255" s="4">
        <v>637974.25300000003</v>
      </c>
      <c r="H255" s="7">
        <v>80.79434327553615</v>
      </c>
      <c r="I255" s="4">
        <v>824511.69190873997</v>
      </c>
      <c r="J255" s="4">
        <v>1.7930999999999999</v>
      </c>
      <c r="K255" s="4">
        <v>32.261499999999998</v>
      </c>
      <c r="L255" s="7">
        <v>1</v>
      </c>
      <c r="M255" s="4">
        <v>343.32870000000003</v>
      </c>
      <c r="N255" s="4">
        <v>13.679222778679703</v>
      </c>
      <c r="O255" s="4">
        <v>2.843484931756388E-2</v>
      </c>
      <c r="P255" s="7">
        <v>1.311152088291421E-2</v>
      </c>
      <c r="Q255" s="4">
        <v>2.3056290477164789</v>
      </c>
      <c r="R255" s="3">
        <v>8.6858234456020471E-3</v>
      </c>
      <c r="S255" s="33">
        <v>9.5891306540979396E-2</v>
      </c>
      <c r="T255" s="5">
        <v>39.299999999999997</v>
      </c>
      <c r="U255" s="34">
        <v>0.10495592499999999</v>
      </c>
      <c r="V255">
        <v>6.7587550863359702</v>
      </c>
      <c r="W255" s="34"/>
    </row>
    <row r="256" spans="1:23" ht="16" x14ac:dyDescent="0.2">
      <c r="A256" s="2" t="s">
        <v>79</v>
      </c>
      <c r="B256" s="5">
        <v>2018</v>
      </c>
      <c r="C256" s="4">
        <v>4.7699774540916673</v>
      </c>
      <c r="D256" s="4">
        <v>5.324378674517373E-2</v>
      </c>
      <c r="E256" s="13">
        <v>1.7458077202976739E-2</v>
      </c>
      <c r="F256" s="4">
        <v>0.96750000000000003</v>
      </c>
      <c r="G256" s="4">
        <v>1204371.8189999999</v>
      </c>
      <c r="H256" s="7">
        <v>88.780630775706214</v>
      </c>
      <c r="I256" s="4">
        <v>930843.92754827999</v>
      </c>
      <c r="J256" s="4">
        <v>2.0924</v>
      </c>
      <c r="K256" s="4">
        <v>36.488500000000002</v>
      </c>
      <c r="L256" s="7">
        <v>1</v>
      </c>
      <c r="M256" s="4">
        <v>409.21550000000002</v>
      </c>
      <c r="N256" s="4">
        <v>13.689927060633746</v>
      </c>
      <c r="O256" s="4">
        <v>2.8017864843924573E-2</v>
      </c>
      <c r="P256" s="7">
        <v>1.3353471141145431E-2</v>
      </c>
      <c r="Q256" s="4">
        <v>2.3486974910724787</v>
      </c>
      <c r="R256" s="3">
        <v>9.970255381805234E-3</v>
      </c>
      <c r="S256" s="33">
        <v>0.12870455661971003</v>
      </c>
      <c r="T256" s="5">
        <v>37.9</v>
      </c>
      <c r="U256" s="34">
        <v>0.14311219999999999</v>
      </c>
      <c r="V256">
        <v>6.6159571773543897</v>
      </c>
      <c r="W256" s="34"/>
    </row>
    <row r="257" spans="1:23" ht="16" x14ac:dyDescent="0.2">
      <c r="A257" s="2" t="s">
        <v>79</v>
      </c>
      <c r="B257" s="5">
        <v>2019</v>
      </c>
      <c r="C257" s="4">
        <v>4.7436464706358699</v>
      </c>
      <c r="D257" s="4">
        <v>8.5744484691921669E-2</v>
      </c>
      <c r="E257" s="13">
        <v>1.1056549823081671E-2</v>
      </c>
      <c r="F257" s="4">
        <v>0.97529999999999994</v>
      </c>
      <c r="G257" s="4">
        <v>1544309.497</v>
      </c>
      <c r="H257" s="7">
        <v>28.225309878327543</v>
      </c>
      <c r="I257" s="4">
        <v>949446.25899196009</v>
      </c>
      <c r="J257" s="4">
        <v>2.4491999999999998</v>
      </c>
      <c r="K257" s="4">
        <v>30.985499999999998</v>
      </c>
      <c r="L257" s="7">
        <v>1</v>
      </c>
      <c r="M257" s="4">
        <v>385.74450000000002</v>
      </c>
      <c r="N257" s="4">
        <v>13.784449348075361</v>
      </c>
      <c r="O257" s="4">
        <v>2.8886787297668023E-2</v>
      </c>
      <c r="P257" s="7">
        <v>1.2040301429954105E-2</v>
      </c>
      <c r="Q257" s="4">
        <v>2.5014524101310416</v>
      </c>
      <c r="R257" s="3">
        <v>9.8085084808433674E-3</v>
      </c>
      <c r="S257" s="33">
        <v>2.7712383170145276E-2</v>
      </c>
      <c r="T257" s="5">
        <v>37.700000000000003</v>
      </c>
      <c r="U257" s="34">
        <v>0.29669430000000002</v>
      </c>
      <c r="V257">
        <v>6.9083850099290096</v>
      </c>
      <c r="W257" s="34"/>
    </row>
    <row r="258" spans="1:23" ht="16" x14ac:dyDescent="0.2">
      <c r="A258" s="2" t="s">
        <v>79</v>
      </c>
      <c r="B258" s="5">
        <v>2020</v>
      </c>
      <c r="C258" s="4">
        <v>4.3619978852545058</v>
      </c>
      <c r="D258" s="4">
        <v>2.2036147390248471</v>
      </c>
      <c r="E258" s="13">
        <v>-3.586251369554845E-3</v>
      </c>
      <c r="F258" s="4">
        <v>0.96650000000000003</v>
      </c>
      <c r="G258" s="4">
        <v>1675567.058</v>
      </c>
      <c r="H258" s="7">
        <v>8.4994336468812115</v>
      </c>
      <c r="I258" s="4">
        <v>1125269.53</v>
      </c>
      <c r="J258" s="4">
        <v>2.2572999999999999</v>
      </c>
      <c r="K258" s="4">
        <v>30.581800000000001</v>
      </c>
      <c r="L258" s="7">
        <v>1</v>
      </c>
      <c r="M258" s="4">
        <v>404.35129999999998</v>
      </c>
      <c r="N258" s="4">
        <v>13.955881010811551</v>
      </c>
      <c r="O258" s="4">
        <v>2.810068709627021E-2</v>
      </c>
      <c r="P258" s="7">
        <v>8.7781436576563378E-3</v>
      </c>
      <c r="Q258" s="4">
        <v>2.5361705773633063</v>
      </c>
      <c r="R258" s="3">
        <v>9.783934551003997E-3</v>
      </c>
      <c r="S258" s="33">
        <v>2.8555740275520065E-2</v>
      </c>
      <c r="T258" s="5">
        <v>37.9</v>
      </c>
      <c r="U258" s="34">
        <v>0.27519169999999998</v>
      </c>
      <c r="V258">
        <v>6.9007672694492497</v>
      </c>
      <c r="W258" s="34"/>
    </row>
    <row r="259" spans="1:23" ht="16" x14ac:dyDescent="0.2">
      <c r="A259" s="2" t="s">
        <v>79</v>
      </c>
      <c r="B259" s="5">
        <v>2021</v>
      </c>
      <c r="C259" s="4">
        <v>4.5563914311818383</v>
      </c>
      <c r="D259" s="4">
        <v>-2.6643694708903696</v>
      </c>
      <c r="E259" s="13">
        <v>4.0785501264203425E-2</v>
      </c>
      <c r="F259" s="4">
        <v>0.96150000000000002</v>
      </c>
      <c r="G259" s="4">
        <v>1680691.936</v>
      </c>
      <c r="H259" s="7">
        <v>0.30585931941853833</v>
      </c>
      <c r="I259" s="4">
        <v>1061290.98</v>
      </c>
      <c r="J259" s="4">
        <v>2.0470000000000002</v>
      </c>
      <c r="K259" s="4">
        <v>36.597799999999999</v>
      </c>
      <c r="L259" s="7">
        <v>1</v>
      </c>
      <c r="M259" s="4">
        <v>390.18639999999999</v>
      </c>
      <c r="N259" s="4">
        <v>14.050898835694921</v>
      </c>
      <c r="O259" s="4">
        <v>2.4908931659615673E-2</v>
      </c>
      <c r="P259" s="7">
        <v>6.8768136160329701E-3</v>
      </c>
      <c r="Q259" s="4">
        <v>2.424389584306089</v>
      </c>
      <c r="R259" s="3">
        <v>1.0135071990060284E-2</v>
      </c>
      <c r="S259" s="33">
        <v>0.21328775065622899</v>
      </c>
      <c r="T259" s="5">
        <v>38.5</v>
      </c>
      <c r="U259" s="34">
        <v>0.17849286666666667</v>
      </c>
      <c r="V259">
        <v>6.4489751802431599</v>
      </c>
      <c r="W259" s="34"/>
    </row>
    <row r="260" spans="1:23" ht="16" x14ac:dyDescent="0.2">
      <c r="A260" s="2" t="s">
        <v>79</v>
      </c>
      <c r="B260" s="5">
        <v>2022</v>
      </c>
      <c r="C260" s="4">
        <v>4.7485235241857762</v>
      </c>
      <c r="D260" s="4">
        <v>-0.14741683067655051</v>
      </c>
      <c r="E260" s="13">
        <v>1.5429009588758097E-2</v>
      </c>
      <c r="F260" s="4">
        <v>0.96109999999999995</v>
      </c>
      <c r="G260" s="4">
        <v>2116266.5520000001</v>
      </c>
      <c r="H260" s="7">
        <v>25.916386380519896</v>
      </c>
      <c r="I260" s="4">
        <v>945233.1</v>
      </c>
      <c r="J260" s="4">
        <v>1.9722</v>
      </c>
      <c r="K260" s="4">
        <v>36.923999999999999</v>
      </c>
      <c r="L260" s="7">
        <v>1</v>
      </c>
      <c r="M260" s="4">
        <v>375.39569999999998</v>
      </c>
      <c r="N260" s="4">
        <v>14.02981516061128</v>
      </c>
      <c r="O260" s="4">
        <v>2.5420298036246583E-2</v>
      </c>
      <c r="P260" s="7">
        <v>7.009898495324211E-3</v>
      </c>
      <c r="Q260" s="4">
        <v>2.236430759919195</v>
      </c>
      <c r="R260" s="3">
        <v>9.988338290011934E-3</v>
      </c>
      <c r="S260" s="33">
        <v>8.0082772214906672E-3</v>
      </c>
      <c r="T260" s="5">
        <v>38.299999999999997</v>
      </c>
      <c r="U260" s="34">
        <v>0.37974000833333332</v>
      </c>
      <c r="V260">
        <v>6.7371581123711897</v>
      </c>
      <c r="W260" s="34"/>
    </row>
    <row r="261" spans="1:23" x14ac:dyDescent="0.2">
      <c r="A261" s="2"/>
      <c r="C261" s="4"/>
      <c r="D261" s="4"/>
      <c r="E261" s="13"/>
      <c r="F261" s="4"/>
      <c r="G261" s="4"/>
      <c r="I261" s="4"/>
      <c r="J261" s="4"/>
      <c r="K261" s="4"/>
      <c r="L261" s="7"/>
      <c r="M261" s="4"/>
      <c r="N261" s="4"/>
      <c r="O261" s="4"/>
      <c r="Q261" s="4"/>
      <c r="R261" s="3"/>
      <c r="W261" s="34"/>
    </row>
    <row r="262" spans="1:23" ht="16" x14ac:dyDescent="0.2">
      <c r="A262" s="2" t="s">
        <v>80</v>
      </c>
      <c r="B262" s="5">
        <v>2014</v>
      </c>
      <c r="C262" s="4">
        <v>10.995984996261015</v>
      </c>
      <c r="D262" s="4">
        <v>3.607272434574718</v>
      </c>
      <c r="E262" s="13">
        <v>-1.5487011107403017E-2</v>
      </c>
      <c r="F262" s="4">
        <v>1.0228999999999999</v>
      </c>
      <c r="G262" s="4">
        <v>389653</v>
      </c>
      <c r="H262" s="7">
        <v>-4.1597284567043404</v>
      </c>
      <c r="I262" s="4">
        <v>169178.11930464001</v>
      </c>
      <c r="J262" s="4">
        <v>2.5693000000000001</v>
      </c>
      <c r="K262" s="4">
        <v>44.081099999999999</v>
      </c>
      <c r="L262" s="7">
        <v>1</v>
      </c>
      <c r="M262" s="4">
        <v>355.92020000000002</v>
      </c>
      <c r="N262" s="4">
        <v>12.77205176957276</v>
      </c>
      <c r="O262" s="4">
        <v>2.0587781562375795E-2</v>
      </c>
      <c r="P262" s="7">
        <v>0.12086897079443706</v>
      </c>
      <c r="Q262" s="4">
        <v>2.5233045985290272</v>
      </c>
      <c r="R262" s="3">
        <v>6.6954987880990871E-3</v>
      </c>
      <c r="S262" s="33">
        <v>9.457781607341903E-2</v>
      </c>
      <c r="T262" s="5">
        <v>99.9</v>
      </c>
      <c r="U262" s="34">
        <v>0.12046267500000001</v>
      </c>
      <c r="V262">
        <v>6.1434340944886703</v>
      </c>
    </row>
    <row r="263" spans="1:23" ht="16" x14ac:dyDescent="0.2">
      <c r="A263" s="2" t="s">
        <v>80</v>
      </c>
      <c r="B263" s="5">
        <v>2015</v>
      </c>
      <c r="C263" s="4">
        <v>10.624026207809331</v>
      </c>
      <c r="D263" s="4">
        <v>-2.4481116829588614</v>
      </c>
      <c r="E263" s="13">
        <v>5.3995497965733052E-2</v>
      </c>
      <c r="F263" s="4">
        <v>1.004</v>
      </c>
      <c r="G263" s="4">
        <v>1037565</v>
      </c>
      <c r="H263" s="7">
        <v>166.2792279284389</v>
      </c>
      <c r="I263" s="4">
        <v>271989.43599599996</v>
      </c>
      <c r="J263" s="4">
        <v>2.7681</v>
      </c>
      <c r="K263" s="4">
        <v>38.618200000000002</v>
      </c>
      <c r="L263" s="7">
        <v>1</v>
      </c>
      <c r="M263" s="4">
        <v>340.7201</v>
      </c>
      <c r="N263" s="4">
        <v>12.864779560368563</v>
      </c>
      <c r="O263" s="4">
        <v>2.40647031690236E-2</v>
      </c>
      <c r="P263" s="7">
        <v>0.13310369382009204</v>
      </c>
      <c r="Q263" s="4">
        <v>2.272175818366291</v>
      </c>
      <c r="R263" s="3">
        <v>7.041371313196332E-3</v>
      </c>
      <c r="S263" s="33">
        <v>5.5934460075526035E-2</v>
      </c>
      <c r="T263" s="5">
        <v>40.6</v>
      </c>
      <c r="U263" s="34">
        <v>0.11306368333333332</v>
      </c>
      <c r="V263">
        <v>6.22748867298455</v>
      </c>
    </row>
    <row r="264" spans="1:23" ht="16" x14ac:dyDescent="0.2">
      <c r="A264" s="2" t="s">
        <v>80</v>
      </c>
      <c r="B264" s="5">
        <v>2016</v>
      </c>
      <c r="C264" s="4">
        <v>9.5578761896586997</v>
      </c>
      <c r="D264" s="4">
        <v>3.4927508001855921E-2</v>
      </c>
      <c r="E264" s="13">
        <v>1.182399274913192E-2</v>
      </c>
      <c r="F264" s="4">
        <v>0.99119999999999997</v>
      </c>
      <c r="G264" s="4">
        <v>951673</v>
      </c>
      <c r="H264" s="7">
        <v>-8.2782283519586723</v>
      </c>
      <c r="I264" s="4">
        <v>370344.28959715995</v>
      </c>
      <c r="J264" s="4">
        <v>2.754</v>
      </c>
      <c r="K264" s="4">
        <v>29.578700000000001</v>
      </c>
      <c r="L264" s="7">
        <v>1</v>
      </c>
      <c r="M264" s="4">
        <v>369.23149999999998</v>
      </c>
      <c r="N264" s="4">
        <v>12.961220573082411</v>
      </c>
      <c r="O264" s="4">
        <v>2.7057848459707656E-2</v>
      </c>
      <c r="P264" s="7">
        <v>0.12426459595434863</v>
      </c>
      <c r="Q264" s="4">
        <v>1.8284759332147742</v>
      </c>
      <c r="R264" s="3">
        <v>7.7071122575547834E-3</v>
      </c>
      <c r="S264" s="33">
        <v>1.5525894567969992E-2</v>
      </c>
      <c r="T264" s="5">
        <v>40.6</v>
      </c>
      <c r="U264" s="34">
        <v>0.10788815833333336</v>
      </c>
      <c r="V264">
        <v>6.6444778294468003</v>
      </c>
    </row>
    <row r="265" spans="1:23" ht="16" x14ac:dyDescent="0.2">
      <c r="A265" s="2" t="s">
        <v>80</v>
      </c>
      <c r="B265" s="5">
        <v>2017</v>
      </c>
      <c r="C265" s="4">
        <v>8.7046777603249357</v>
      </c>
      <c r="D265" s="4">
        <v>3.0443752504105732</v>
      </c>
      <c r="E265" s="13">
        <v>-1.4105052364544225E-2</v>
      </c>
      <c r="F265" s="4">
        <v>1.0081</v>
      </c>
      <c r="G265" s="4">
        <v>1590440</v>
      </c>
      <c r="H265" s="7">
        <v>67.120428970875494</v>
      </c>
      <c r="I265" s="4">
        <v>445631.10216235998</v>
      </c>
      <c r="J265" s="4">
        <v>2.3721000000000001</v>
      </c>
      <c r="K265" s="4">
        <v>31.684100000000001</v>
      </c>
      <c r="L265" s="7">
        <v>1</v>
      </c>
      <c r="M265" s="4">
        <v>422.6139</v>
      </c>
      <c r="N265" s="4">
        <v>13.120863490335882</v>
      </c>
      <c r="O265" s="4">
        <v>2.5706624219996962E-2</v>
      </c>
      <c r="P265" s="7">
        <v>9.4969987253597427E-2</v>
      </c>
      <c r="Q265" s="4">
        <v>2.4504185865011991</v>
      </c>
      <c r="R265" s="3">
        <v>8.5959675433815615E-3</v>
      </c>
      <c r="S265" s="33">
        <v>9.5891306540979396E-2</v>
      </c>
      <c r="T265" s="5">
        <v>39.299999999999997</v>
      </c>
      <c r="U265" s="34">
        <v>0.10495592499999999</v>
      </c>
      <c r="V265">
        <v>6.7587550863359702</v>
      </c>
    </row>
    <row r="266" spans="1:23" ht="16" x14ac:dyDescent="0.2">
      <c r="A266" s="2" t="s">
        <v>80</v>
      </c>
      <c r="B266" s="5">
        <v>2018</v>
      </c>
      <c r="C266" s="4">
        <v>8.6893218917300228</v>
      </c>
      <c r="D266" s="4">
        <v>2.2447100953381796</v>
      </c>
      <c r="E266" s="13">
        <v>-1.8469632038510487E-4</v>
      </c>
      <c r="F266" s="4">
        <v>0.98270000000000002</v>
      </c>
      <c r="G266" s="4">
        <v>2052213</v>
      </c>
      <c r="H266" s="7">
        <v>29.034292397072509</v>
      </c>
      <c r="I266" s="4">
        <v>507433.66020689992</v>
      </c>
      <c r="J266" s="4">
        <v>2.3458999999999999</v>
      </c>
      <c r="K266" s="4">
        <v>32.855400000000003</v>
      </c>
      <c r="L266" s="7">
        <v>1</v>
      </c>
      <c r="M266" s="4">
        <v>402.24090000000001</v>
      </c>
      <c r="N266" s="4">
        <v>13.116338723366965</v>
      </c>
      <c r="O266" s="4">
        <v>2.3915547491391548E-2</v>
      </c>
      <c r="P266" s="7">
        <v>9.008294749071967E-2</v>
      </c>
      <c r="Q266" s="4">
        <v>2.7284630682851083</v>
      </c>
      <c r="R266" s="3">
        <v>9.3971724934965844E-3</v>
      </c>
      <c r="S266" s="33">
        <v>0.12870455661971003</v>
      </c>
      <c r="T266" s="5">
        <v>37.9</v>
      </c>
      <c r="U266" s="34">
        <v>0.14311219999999999</v>
      </c>
      <c r="V266">
        <v>6.6159571773543897</v>
      </c>
    </row>
    <row r="267" spans="1:23" ht="16" x14ac:dyDescent="0.2">
      <c r="A267" s="2" t="s">
        <v>80</v>
      </c>
      <c r="B267" s="5">
        <v>2019</v>
      </c>
      <c r="C267" s="4">
        <v>9.0214380966454168</v>
      </c>
      <c r="D267" s="4">
        <v>1.5026152802931092</v>
      </c>
      <c r="E267" s="13">
        <v>5.888608728661213E-3</v>
      </c>
      <c r="F267" s="4">
        <v>1.0117</v>
      </c>
      <c r="G267" s="4">
        <v>2849906</v>
      </c>
      <c r="H267" s="7">
        <v>38.869893134874403</v>
      </c>
      <c r="I267" s="4">
        <v>549050.94376464002</v>
      </c>
      <c r="J267" s="4">
        <v>2.6198999999999999</v>
      </c>
      <c r="K267" s="4">
        <v>33.536900000000003</v>
      </c>
      <c r="L267" s="7">
        <v>1</v>
      </c>
      <c r="M267" s="4">
        <v>351.21559999999999</v>
      </c>
      <c r="N267" s="4">
        <v>13.24578735194013</v>
      </c>
      <c r="O267" s="4">
        <v>2.7486166639354999E-2</v>
      </c>
      <c r="P267" s="7">
        <v>7.7077646474952397E-2</v>
      </c>
      <c r="Q267" s="4">
        <v>2.4136239467855809</v>
      </c>
      <c r="R267" s="3">
        <v>9.5044470013087301E-3</v>
      </c>
      <c r="S267" s="33">
        <v>2.7712383170145276E-2</v>
      </c>
      <c r="T267" s="5">
        <v>37.700000000000003</v>
      </c>
      <c r="U267" s="34">
        <v>0.29669430000000002</v>
      </c>
      <c r="V267">
        <v>6.9083850099290096</v>
      </c>
    </row>
    <row r="268" spans="1:23" ht="16" x14ac:dyDescent="0.2">
      <c r="A268" s="2" t="s">
        <v>80</v>
      </c>
      <c r="B268" s="5">
        <v>2020</v>
      </c>
      <c r="C268" s="4">
        <v>8.2080063849209832</v>
      </c>
      <c r="D268" s="4">
        <v>-4.7113997909589944</v>
      </c>
      <c r="E268" s="13">
        <v>7.0469361636685657E-2</v>
      </c>
      <c r="F268" s="4">
        <v>1.0182</v>
      </c>
      <c r="G268" s="4">
        <v>5164295</v>
      </c>
      <c r="H268" s="7">
        <v>81.209310061454659</v>
      </c>
      <c r="I268" s="4">
        <v>480930.73371300002</v>
      </c>
      <c r="J268" s="4">
        <v>2.8767</v>
      </c>
      <c r="K268" s="4">
        <v>36.490400000000001</v>
      </c>
      <c r="L268" s="7">
        <v>1</v>
      </c>
      <c r="M268" s="4">
        <v>362.82929999999999</v>
      </c>
      <c r="N268" s="4">
        <v>13.436588411737777</v>
      </c>
      <c r="O268" s="4">
        <v>2.0798883166842232E-2</v>
      </c>
      <c r="P268" s="7">
        <v>9.5012765364088869E-2</v>
      </c>
      <c r="Q268" s="4">
        <v>2.3716979512998235</v>
      </c>
      <c r="R268" s="3">
        <v>9.9346065722976384E-3</v>
      </c>
      <c r="S268" s="33">
        <v>2.8555740275520065E-2</v>
      </c>
      <c r="T268" s="5">
        <v>37.9</v>
      </c>
      <c r="U268" s="34">
        <v>0.27519169999999998</v>
      </c>
      <c r="V268">
        <v>6.9007672694492497</v>
      </c>
    </row>
    <row r="269" spans="1:23" ht="16" x14ac:dyDescent="0.2">
      <c r="A269" s="2" t="s">
        <v>80</v>
      </c>
      <c r="B269" s="5">
        <v>2021</v>
      </c>
      <c r="C269" s="4">
        <v>9.110995982719599</v>
      </c>
      <c r="D269" s="4">
        <v>1.1713690196966731</v>
      </c>
      <c r="E269" s="13">
        <v>1.3231477442145066E-2</v>
      </c>
      <c r="F269" s="4">
        <v>0.99880000000000002</v>
      </c>
      <c r="G269" s="4">
        <v>4623550</v>
      </c>
      <c r="H269" s="7">
        <v>-10.470838710801765</v>
      </c>
      <c r="I269" s="4">
        <v>492052.82956804993</v>
      </c>
      <c r="J269" s="4">
        <v>2.7888000000000002</v>
      </c>
      <c r="K269" s="4">
        <v>33.717399999999998</v>
      </c>
      <c r="L269" s="7">
        <v>1</v>
      </c>
      <c r="M269" s="4">
        <v>366.09440000000001</v>
      </c>
      <c r="N269" s="4">
        <v>13.559684555233391</v>
      </c>
      <c r="O269" s="4">
        <v>2.5688374653640329E-2</v>
      </c>
      <c r="P269" s="7">
        <v>8.1862770341915303E-2</v>
      </c>
      <c r="Q269" s="4">
        <v>2.026747851824068</v>
      </c>
      <c r="R269" s="3">
        <v>1.0243877890961799E-2</v>
      </c>
      <c r="S269" s="33">
        <v>0.21328775065622899</v>
      </c>
      <c r="T269" s="5">
        <v>38.5</v>
      </c>
      <c r="U269" s="34">
        <v>0.17849286666666667</v>
      </c>
      <c r="V269">
        <v>6.4489751802431599</v>
      </c>
    </row>
    <row r="270" spans="1:23" ht="16" x14ac:dyDescent="0.2">
      <c r="A270" s="2" t="s">
        <v>80</v>
      </c>
      <c r="B270" s="5">
        <v>2022</v>
      </c>
      <c r="C270" s="4">
        <v>10.349579830690397</v>
      </c>
      <c r="D270" s="4">
        <v>0.37065997032050024</v>
      </c>
      <c r="E270" s="13">
        <v>1.892783673459562E-2</v>
      </c>
      <c r="F270" s="4">
        <v>0.97950000000000004</v>
      </c>
      <c r="G270" s="4">
        <v>4917019</v>
      </c>
      <c r="H270" s="7">
        <v>6.3472656292242968</v>
      </c>
      <c r="I270" s="4">
        <v>505337.86872770003</v>
      </c>
      <c r="J270" s="4">
        <v>2.746</v>
      </c>
      <c r="K270" s="4">
        <v>33.356200000000001</v>
      </c>
      <c r="L270" s="7">
        <v>1</v>
      </c>
      <c r="M270" s="4">
        <v>329.8587</v>
      </c>
      <c r="N270" s="4">
        <v>13.555949914775191</v>
      </c>
      <c r="O270" s="4">
        <v>2.9412515710402789E-2</v>
      </c>
      <c r="P270" s="7">
        <v>8.3209616301441816E-2</v>
      </c>
      <c r="Q270" s="4">
        <v>1.7181035132922422</v>
      </c>
      <c r="R270" s="3">
        <v>9.9310751138384206E-3</v>
      </c>
      <c r="S270" s="33">
        <v>8.0082772214906672E-3</v>
      </c>
      <c r="T270" s="5">
        <v>38.299999999999997</v>
      </c>
      <c r="U270" s="34">
        <v>0.37974000833333332</v>
      </c>
      <c r="V270">
        <v>6.7371581123711897</v>
      </c>
    </row>
    <row r="271" spans="1:23" x14ac:dyDescent="0.2">
      <c r="A271" s="2"/>
      <c r="C271" s="4"/>
      <c r="D271" s="4"/>
      <c r="E271" s="13"/>
      <c r="F271" s="4"/>
      <c r="G271" s="4"/>
      <c r="I271" s="4"/>
      <c r="J271" s="4"/>
      <c r="K271" s="4"/>
      <c r="L271" s="7"/>
      <c r="M271" s="4"/>
      <c r="N271" s="4"/>
      <c r="O271" s="4"/>
      <c r="Q271" s="4"/>
      <c r="R271" s="3"/>
    </row>
    <row r="272" spans="1:23" ht="16" x14ac:dyDescent="0.2">
      <c r="A272" s="2" t="s">
        <v>81</v>
      </c>
      <c r="B272" s="5">
        <v>2014</v>
      </c>
      <c r="C272" s="4">
        <v>6.0489180739720494</v>
      </c>
      <c r="D272" s="4">
        <v>1.2109625860203856</v>
      </c>
      <c r="E272" s="13">
        <v>2.7241927333386596E-3</v>
      </c>
      <c r="F272" s="4">
        <v>1.0077</v>
      </c>
      <c r="G272" s="4">
        <v>880915</v>
      </c>
      <c r="H272" s="7">
        <v>112.0214015461486</v>
      </c>
      <c r="I272" s="4">
        <v>347711.32931431994</v>
      </c>
      <c r="J272" s="4">
        <v>3.6091000000000002</v>
      </c>
      <c r="K272" s="4">
        <v>30.8413</v>
      </c>
      <c r="L272" s="7">
        <v>1</v>
      </c>
      <c r="M272" s="4">
        <v>402.92989999999998</v>
      </c>
      <c r="N272" s="4">
        <v>13.423882007114068</v>
      </c>
      <c r="O272" s="4">
        <v>2.6506867404855319E-2</v>
      </c>
      <c r="P272" s="7">
        <v>4.5045935731905788E-2</v>
      </c>
      <c r="Q272" s="4">
        <v>1.8458544811701287</v>
      </c>
      <c r="R272" s="3">
        <v>7.4463227694435393E-3</v>
      </c>
      <c r="S272" s="33">
        <v>9.457781607341903E-2</v>
      </c>
      <c r="T272" s="5">
        <v>99.9</v>
      </c>
      <c r="U272" s="34">
        <v>0.12046267500000001</v>
      </c>
      <c r="V272">
        <v>6.1434340944886703</v>
      </c>
    </row>
    <row r="273" spans="1:22" ht="16" x14ac:dyDescent="0.2">
      <c r="A273" s="2" t="s">
        <v>81</v>
      </c>
      <c r="B273" s="5">
        <v>2015</v>
      </c>
      <c r="C273" s="4">
        <v>4.514179715637443</v>
      </c>
      <c r="D273" s="4">
        <v>1.1555293809554794</v>
      </c>
      <c r="E273" s="13">
        <v>1.7812610558171186E-2</v>
      </c>
      <c r="F273" s="4">
        <v>1.0051000000000001</v>
      </c>
      <c r="G273" s="4">
        <v>1414988</v>
      </c>
      <c r="H273" s="7">
        <v>60.627075256977122</v>
      </c>
      <c r="I273" s="4">
        <v>540319.10668988002</v>
      </c>
      <c r="J273" s="4">
        <v>3.0985999999999998</v>
      </c>
      <c r="K273" s="4">
        <v>28.827100000000002</v>
      </c>
      <c r="L273" s="7">
        <v>1</v>
      </c>
      <c r="M273" s="4">
        <v>529.03420000000006</v>
      </c>
      <c r="N273" s="4">
        <v>13.563902510981615</v>
      </c>
      <c r="O273" s="4">
        <v>3.3001294044072448E-2</v>
      </c>
      <c r="P273" s="7">
        <v>5.2532684219051121E-2</v>
      </c>
      <c r="Q273" s="4">
        <v>1.7485737696565729</v>
      </c>
      <c r="R273" s="3">
        <v>7.6012345234878053E-3</v>
      </c>
      <c r="S273" s="33">
        <v>5.5934460075526035E-2</v>
      </c>
      <c r="T273" s="5">
        <v>40.6</v>
      </c>
      <c r="U273" s="34">
        <v>0.11306368333333332</v>
      </c>
      <c r="V273">
        <v>6.22748867298455</v>
      </c>
    </row>
    <row r="274" spans="1:22" ht="16" x14ac:dyDescent="0.2">
      <c r="A274" s="2" t="s">
        <v>81</v>
      </c>
      <c r="B274" s="5">
        <v>2016</v>
      </c>
      <c r="C274" s="4">
        <v>4.9941515802120691</v>
      </c>
      <c r="D274" s="4">
        <v>0.89965899401395588</v>
      </c>
      <c r="E274" s="13">
        <v>5.2445191902445332E-3</v>
      </c>
      <c r="F274" s="4">
        <v>1.0021</v>
      </c>
      <c r="G274" s="4">
        <v>1969936</v>
      </c>
      <c r="H274" s="7">
        <v>39.219272530933125</v>
      </c>
      <c r="I274" s="4">
        <v>751855.25030456006</v>
      </c>
      <c r="J274" s="4">
        <v>2.2109000000000001</v>
      </c>
      <c r="K274" s="4">
        <v>27.004799999999999</v>
      </c>
      <c r="L274" s="7">
        <v>1</v>
      </c>
      <c r="M274" s="4">
        <v>491.81869999999998</v>
      </c>
      <c r="N274" s="4">
        <v>13.64593444170591</v>
      </c>
      <c r="O274" s="4">
        <v>3.1941801089409916E-2</v>
      </c>
      <c r="P274" s="7">
        <v>4.2177435660916918E-2</v>
      </c>
      <c r="Q274" s="4">
        <v>1.5358947487450898</v>
      </c>
      <c r="R274" s="3">
        <v>7.8657424436592762E-3</v>
      </c>
      <c r="S274" s="33">
        <v>1.5525894567969992E-2</v>
      </c>
      <c r="T274" s="5">
        <v>40.6</v>
      </c>
      <c r="U274" s="34">
        <v>0.10788815833333336</v>
      </c>
      <c r="V274">
        <v>6.6444778294468003</v>
      </c>
    </row>
    <row r="275" spans="1:22" ht="16" x14ac:dyDescent="0.2">
      <c r="A275" s="2" t="s">
        <v>81</v>
      </c>
      <c r="B275" s="5">
        <v>2017</v>
      </c>
      <c r="C275" s="4">
        <v>4.6917133809504019</v>
      </c>
      <c r="D275" s="4">
        <v>0.52507596368989007</v>
      </c>
      <c r="E275" s="13">
        <v>5.4764237927692151E-3</v>
      </c>
      <c r="F275" s="4">
        <v>0.99580000000000002</v>
      </c>
      <c r="G275" s="4">
        <v>4544911</v>
      </c>
      <c r="H275" s="7">
        <v>130.71363739735708</v>
      </c>
      <c r="I275" s="4">
        <v>1053009.16532904</v>
      </c>
      <c r="J275" s="4">
        <v>1.8603000000000001</v>
      </c>
      <c r="K275" s="4">
        <v>26.276800000000001</v>
      </c>
      <c r="L275" s="7">
        <v>1</v>
      </c>
      <c r="M275" s="4">
        <v>463.08019999999999</v>
      </c>
      <c r="N275" s="4">
        <v>13.757053272414385</v>
      </c>
      <c r="O275" s="4">
        <v>2.840637327179265E-2</v>
      </c>
      <c r="P275" s="7">
        <v>2.4014581750765759E-2</v>
      </c>
      <c r="Q275" s="4">
        <v>1.9793382680501237</v>
      </c>
      <c r="R275" s="3">
        <v>9.0029963877826056E-3</v>
      </c>
      <c r="S275" s="33">
        <v>9.5891306540979396E-2</v>
      </c>
      <c r="T275" s="5">
        <v>39.299999999999997</v>
      </c>
      <c r="U275" s="34">
        <v>0.10495592499999999</v>
      </c>
      <c r="V275">
        <v>6.7587550863359702</v>
      </c>
    </row>
    <row r="276" spans="1:22" ht="16" x14ac:dyDescent="0.2">
      <c r="A276" s="2" t="s">
        <v>81</v>
      </c>
      <c r="B276" s="5">
        <v>2018</v>
      </c>
      <c r="C276" s="4">
        <v>4.6966906144634244</v>
      </c>
      <c r="D276" s="4">
        <v>0.81123643950783253</v>
      </c>
      <c r="E276" s="13">
        <v>7.063147558516788E-3</v>
      </c>
      <c r="F276" s="4">
        <v>0.97550000000000003</v>
      </c>
      <c r="G276" s="4">
        <v>7823478</v>
      </c>
      <c r="H276" s="7">
        <v>72.137100154436467</v>
      </c>
      <c r="I276" s="4">
        <v>990646.09152674</v>
      </c>
      <c r="J276" s="4">
        <v>1.9383999999999999</v>
      </c>
      <c r="K276" s="4">
        <v>27.5611</v>
      </c>
      <c r="L276" s="7">
        <v>1</v>
      </c>
      <c r="M276" s="4">
        <v>380.18860000000001</v>
      </c>
      <c r="N276" s="4">
        <v>13.726008382710562</v>
      </c>
      <c r="O276" s="4">
        <v>2.9679604258723201E-2</v>
      </c>
      <c r="P276" s="7">
        <v>2.9827478738667746E-2</v>
      </c>
      <c r="Q276" s="4">
        <v>2.3879470465092094</v>
      </c>
      <c r="R276" s="3">
        <v>9.1760960529253793E-3</v>
      </c>
      <c r="S276" s="33">
        <v>0.12870455661971003</v>
      </c>
      <c r="T276" s="5">
        <v>37.9</v>
      </c>
      <c r="U276" s="34">
        <v>0.14311219999999999</v>
      </c>
      <c r="V276">
        <v>6.6159571773543897</v>
      </c>
    </row>
    <row r="277" spans="1:22" ht="16" x14ac:dyDescent="0.2">
      <c r="A277" s="2" t="s">
        <v>81</v>
      </c>
      <c r="B277" s="5">
        <v>2019</v>
      </c>
      <c r="C277" s="4">
        <v>4.6501264110032281</v>
      </c>
      <c r="D277" s="4">
        <v>1.0336132484331919</v>
      </c>
      <c r="E277" s="13">
        <v>3.5592709359535935E-3</v>
      </c>
      <c r="F277" s="4">
        <v>0.98129999999999995</v>
      </c>
      <c r="G277" s="4">
        <v>8332114</v>
      </c>
      <c r="H277" s="7">
        <v>6.5014051295344597</v>
      </c>
      <c r="I277" s="4">
        <v>1168283.32</v>
      </c>
      <c r="J277" s="4">
        <v>2.3359999999999999</v>
      </c>
      <c r="K277" s="4">
        <v>26.704699999999999</v>
      </c>
      <c r="L277" s="7">
        <v>1</v>
      </c>
      <c r="M277" s="4">
        <v>349.10930000000002</v>
      </c>
      <c r="N277" s="4">
        <v>13.821592028280142</v>
      </c>
      <c r="O277" s="4">
        <v>2.7367538405275418E-2</v>
      </c>
      <c r="P277" s="7">
        <v>2.9287438578692961E-2</v>
      </c>
      <c r="Q277" s="4">
        <v>2.198843503325191</v>
      </c>
      <c r="R277" s="3">
        <v>9.2458063202709405E-3</v>
      </c>
      <c r="S277" s="33">
        <v>2.7712383170145276E-2</v>
      </c>
      <c r="T277" s="5">
        <v>37.700000000000003</v>
      </c>
      <c r="U277" s="34">
        <v>0.29669430000000002</v>
      </c>
      <c r="V277">
        <v>6.9083850099290096</v>
      </c>
    </row>
    <row r="278" spans="1:22" ht="16" x14ac:dyDescent="0.2">
      <c r="A278" s="2" t="s">
        <v>81</v>
      </c>
      <c r="B278" s="5">
        <v>2020</v>
      </c>
      <c r="C278" s="4">
        <v>4.1441069421269985</v>
      </c>
      <c r="D278" s="4">
        <v>-64.628704992578477</v>
      </c>
      <c r="E278" s="13">
        <v>0.66857561716652114</v>
      </c>
      <c r="F278" s="4">
        <v>0.96930000000000005</v>
      </c>
      <c r="G278" s="4">
        <v>7598029</v>
      </c>
      <c r="H278" s="7">
        <v>-8.8103091244310878</v>
      </c>
      <c r="I278" s="4">
        <v>1202044.2</v>
      </c>
      <c r="J278" s="4">
        <v>2.0202</v>
      </c>
      <c r="K278" s="4">
        <v>27.836600000000001</v>
      </c>
      <c r="L278" s="7">
        <v>1</v>
      </c>
      <c r="M278" s="4">
        <v>348.17360000000002</v>
      </c>
      <c r="N278" s="4">
        <v>14.012720727251979</v>
      </c>
      <c r="O278" s="4">
        <v>2.6271881206970566E-2</v>
      </c>
      <c r="P278" s="7">
        <v>4.0059897856803382E-2</v>
      </c>
      <c r="Q278" s="4">
        <v>2.3487610899293396</v>
      </c>
      <c r="R278" s="3">
        <v>9.2477869296970563E-3</v>
      </c>
      <c r="S278" s="33">
        <v>2.8555740275520065E-2</v>
      </c>
      <c r="T278" s="5">
        <v>37.9</v>
      </c>
      <c r="U278" s="34">
        <v>0.27519169999999998</v>
      </c>
      <c r="V278">
        <v>6.9007672694492497</v>
      </c>
    </row>
    <row r="279" spans="1:22" ht="16" x14ac:dyDescent="0.2">
      <c r="A279" s="2" t="s">
        <v>81</v>
      </c>
      <c r="B279" s="5">
        <v>2021</v>
      </c>
      <c r="C279" s="4">
        <v>3.5725016605721605</v>
      </c>
      <c r="D279" s="4">
        <v>-0.48642413520680461</v>
      </c>
      <c r="E279" s="13">
        <v>1.6758435567558624E-2</v>
      </c>
      <c r="F279" s="4">
        <v>0.96230000000000004</v>
      </c>
      <c r="G279" s="4">
        <v>5902554</v>
      </c>
      <c r="H279" s="7">
        <v>-22.314668712109416</v>
      </c>
      <c r="I279" s="4">
        <v>1208670.4200000002</v>
      </c>
      <c r="J279" s="4">
        <v>1.8335999999999999</v>
      </c>
      <c r="K279" s="4">
        <v>35.246000000000002</v>
      </c>
      <c r="L279" s="7">
        <v>1</v>
      </c>
      <c r="M279" s="4">
        <v>291.0256</v>
      </c>
      <c r="N279" s="4">
        <v>14.062448757844201</v>
      </c>
      <c r="O279" s="4">
        <v>2.3001688214790223E-2</v>
      </c>
      <c r="P279" s="7">
        <v>2.6546422523004539E-2</v>
      </c>
      <c r="Q279" s="4">
        <v>2.7929707422521481</v>
      </c>
      <c r="R279" s="3">
        <v>8.9228871629796931E-3</v>
      </c>
      <c r="S279" s="33">
        <v>0.21328775065622899</v>
      </c>
      <c r="T279" s="5">
        <v>38.5</v>
      </c>
      <c r="U279" s="34">
        <v>0.17849286666666667</v>
      </c>
      <c r="V279">
        <v>6.4489751802431599</v>
      </c>
    </row>
    <row r="280" spans="1:22" ht="16" x14ac:dyDescent="0.2">
      <c r="A280" s="2" t="s">
        <v>81</v>
      </c>
      <c r="B280" s="5">
        <v>2022</v>
      </c>
      <c r="C280" s="4">
        <v>3.315229061799212</v>
      </c>
      <c r="D280" s="4">
        <v>0.41187428389331743</v>
      </c>
      <c r="E280" s="13">
        <v>8.0587666429060411E-3</v>
      </c>
      <c r="F280" s="4">
        <v>0.95730000000000004</v>
      </c>
      <c r="G280" s="4">
        <v>6138289</v>
      </c>
      <c r="H280" s="7">
        <v>3.9937796418296214</v>
      </c>
      <c r="I280" s="4">
        <v>1081614.96</v>
      </c>
      <c r="J280" s="4">
        <v>1.7650999999999999</v>
      </c>
      <c r="K280" s="4">
        <v>35.673499999999997</v>
      </c>
      <c r="L280" s="7">
        <v>1</v>
      </c>
      <c r="M280" s="4">
        <v>295.40109999999999</v>
      </c>
      <c r="N280" s="4">
        <v>14.048049830918846</v>
      </c>
      <c r="O280" s="4">
        <v>2.4095316149210216E-2</v>
      </c>
      <c r="P280" s="7">
        <v>4.2762007805734158E-2</v>
      </c>
      <c r="Q280" s="4">
        <v>2.9593526244839521</v>
      </c>
      <c r="R280" s="3">
        <v>8.4771685525088201E-3</v>
      </c>
      <c r="S280" s="33">
        <v>8.0082772214906672E-3</v>
      </c>
      <c r="T280" s="5">
        <v>38.299999999999997</v>
      </c>
      <c r="U280" s="34">
        <v>0.37974000833333332</v>
      </c>
      <c r="V280">
        <v>6.7371581123711897</v>
      </c>
    </row>
    <row r="281" spans="1:22" x14ac:dyDescent="0.2">
      <c r="A281" s="2"/>
      <c r="C281" s="4"/>
      <c r="D281" s="4"/>
      <c r="E281" s="13"/>
      <c r="F281" s="4"/>
      <c r="G281" s="4"/>
      <c r="I281" s="4"/>
      <c r="J281" s="4"/>
      <c r="K281" s="4"/>
      <c r="L281" s="7"/>
      <c r="M281" s="4"/>
      <c r="N281" s="4"/>
      <c r="O281" s="4"/>
      <c r="Q281" s="4"/>
      <c r="R281" s="3"/>
    </row>
    <row r="282" spans="1:22" ht="16" x14ac:dyDescent="0.2">
      <c r="A282" s="2" t="s">
        <v>82</v>
      </c>
      <c r="B282" s="5">
        <v>2014</v>
      </c>
      <c r="C282" s="4">
        <v>12.926996135594285</v>
      </c>
      <c r="D282" s="4">
        <v>10.950586752422522</v>
      </c>
      <c r="E282" s="13">
        <v>-9.0012985146746938E-2</v>
      </c>
      <c r="F282" s="4">
        <v>1.0306999999999999</v>
      </c>
      <c r="G282" s="4">
        <v>414573.97200000001</v>
      </c>
      <c r="H282" s="7">
        <v>58.972750072348454</v>
      </c>
      <c r="I282" s="4">
        <v>30011.383549419996</v>
      </c>
      <c r="J282" s="4">
        <v>2.8161</v>
      </c>
      <c r="K282" s="4">
        <v>38.103999999999999</v>
      </c>
      <c r="L282" s="7">
        <v>1</v>
      </c>
      <c r="M282" s="4">
        <v>525.4529</v>
      </c>
      <c r="N282" s="4">
        <v>11.399381098325678</v>
      </c>
      <c r="O282" s="4">
        <v>2.528919790318062E-2</v>
      </c>
      <c r="P282" s="7">
        <v>8.2518471646127481E-2</v>
      </c>
      <c r="Q282" s="4">
        <v>2.1119335338016074</v>
      </c>
      <c r="R282" s="3">
        <v>6.8528680765548204E-3</v>
      </c>
      <c r="S282" s="33">
        <v>9.457781607341903E-2</v>
      </c>
      <c r="T282" s="5">
        <v>99.9</v>
      </c>
      <c r="U282" s="34">
        <v>0.12046267500000001</v>
      </c>
      <c r="V282">
        <v>6.1434340944886703</v>
      </c>
    </row>
    <row r="283" spans="1:22" ht="16" x14ac:dyDescent="0.2">
      <c r="A283" s="2" t="s">
        <v>82</v>
      </c>
      <c r="B283" s="5">
        <v>2015</v>
      </c>
      <c r="C283" s="4">
        <v>12.086488580307707</v>
      </c>
      <c r="D283" s="4">
        <v>-2.0027864565150533</v>
      </c>
      <c r="E283" s="13">
        <v>5.5240347615362048E-2</v>
      </c>
      <c r="F283" s="4">
        <v>1.0283</v>
      </c>
      <c r="G283" s="4">
        <v>949082.022</v>
      </c>
      <c r="H283" s="7">
        <v>128.92947606464787</v>
      </c>
      <c r="I283" s="4">
        <v>36400.269677440003</v>
      </c>
      <c r="J283" s="4">
        <v>2.6991000000000001</v>
      </c>
      <c r="K283" s="4">
        <v>39.433700000000002</v>
      </c>
      <c r="L283" s="7">
        <v>1</v>
      </c>
      <c r="M283" s="4">
        <v>623.29110000000003</v>
      </c>
      <c r="N283" s="4">
        <v>11.612206943265088</v>
      </c>
      <c r="O283" s="4">
        <v>2.8509192765475543E-2</v>
      </c>
      <c r="P283" s="7">
        <v>3.7635764661901376E-2</v>
      </c>
      <c r="Q283" s="4">
        <v>2.0223746519623109</v>
      </c>
      <c r="R283" s="3">
        <v>7.188618255249103E-3</v>
      </c>
      <c r="S283" s="33">
        <v>5.5934460075526035E-2</v>
      </c>
      <c r="T283" s="5">
        <v>40.6</v>
      </c>
      <c r="U283" s="34">
        <v>0.11306368333333332</v>
      </c>
      <c r="V283">
        <v>6.22748867298455</v>
      </c>
    </row>
    <row r="284" spans="1:22" ht="16" x14ac:dyDescent="0.2">
      <c r="A284" s="2" t="s">
        <v>82</v>
      </c>
      <c r="B284" s="5">
        <v>2016</v>
      </c>
      <c r="C284" s="4">
        <v>11.415156244865614</v>
      </c>
      <c r="D284" s="4">
        <v>0.18644972786050279</v>
      </c>
      <c r="E284" s="13">
        <v>1.7611784658827588E-2</v>
      </c>
      <c r="F284" s="4">
        <v>1.022</v>
      </c>
      <c r="G284" s="4">
        <v>1362133.845</v>
      </c>
      <c r="H284" s="7">
        <v>43.521193471727145</v>
      </c>
      <c r="I284" s="4">
        <v>39853.146156249997</v>
      </c>
      <c r="J284" s="4">
        <v>2.2951000000000001</v>
      </c>
      <c r="K284" s="4">
        <v>37.1083</v>
      </c>
      <c r="L284" s="7">
        <v>1</v>
      </c>
      <c r="M284" s="4">
        <v>557.40110000000004</v>
      </c>
      <c r="N284" s="4">
        <v>11.75610744087629</v>
      </c>
      <c r="O284" s="4">
        <v>3.2126025161470756E-2</v>
      </c>
      <c r="P284" s="7">
        <v>5.8370625205687567E-2</v>
      </c>
      <c r="Q284" s="4">
        <v>1.7292187088337487</v>
      </c>
      <c r="R284" s="3">
        <v>5.9152120727763912E-3</v>
      </c>
      <c r="S284" s="33">
        <v>1.5525894567969992E-2</v>
      </c>
      <c r="T284" s="5">
        <v>40.6</v>
      </c>
      <c r="U284" s="34">
        <v>0.10788815833333336</v>
      </c>
      <c r="V284">
        <v>6.6444778294468003</v>
      </c>
    </row>
    <row r="285" spans="1:22" ht="16" x14ac:dyDescent="0.2">
      <c r="A285" s="2" t="s">
        <v>82</v>
      </c>
      <c r="B285" s="5">
        <v>2017</v>
      </c>
      <c r="C285" s="4">
        <v>11.379746541464195</v>
      </c>
      <c r="D285" s="4">
        <v>2.0747635005421943</v>
      </c>
      <c r="E285" s="13">
        <v>-5.0666767458965208E-3</v>
      </c>
      <c r="F285" s="4">
        <v>1.0367999999999999</v>
      </c>
      <c r="G285" s="4">
        <v>1362133.845</v>
      </c>
      <c r="H285" s="7">
        <v>0</v>
      </c>
      <c r="I285" s="4">
        <v>43618.373617500001</v>
      </c>
      <c r="J285" s="4">
        <v>2.0958000000000001</v>
      </c>
      <c r="K285" s="4">
        <v>36.238</v>
      </c>
      <c r="L285" s="7">
        <v>1</v>
      </c>
      <c r="M285" s="4">
        <v>597.64170000000001</v>
      </c>
      <c r="N285" s="4">
        <v>11.974217935128481</v>
      </c>
      <c r="O285" s="4">
        <v>4.0443212400922815E-2</v>
      </c>
      <c r="P285" s="7">
        <v>4.2752768218981406E-2</v>
      </c>
      <c r="Q285" s="4">
        <v>1.9779430657589641</v>
      </c>
      <c r="R285" s="3">
        <v>6.1246964808033509E-3</v>
      </c>
      <c r="S285" s="33">
        <v>9.5891306540979396E-2</v>
      </c>
      <c r="T285" s="5">
        <v>39.299999999999997</v>
      </c>
      <c r="U285" s="34">
        <v>0.10495592499999999</v>
      </c>
      <c r="V285">
        <v>6.7587550863359702</v>
      </c>
    </row>
    <row r="286" spans="1:22" ht="16" x14ac:dyDescent="0.2">
      <c r="A286" s="2" t="s">
        <v>82</v>
      </c>
      <c r="B286" s="5">
        <v>2018</v>
      </c>
      <c r="C286" s="4">
        <v>12.318862477547794</v>
      </c>
      <c r="D286" s="4">
        <v>1.5715188992840363</v>
      </c>
      <c r="E286" s="13">
        <v>4.4847537784734872E-3</v>
      </c>
      <c r="F286" s="4">
        <v>1.0165</v>
      </c>
      <c r="G286" s="4">
        <v>3727174.6090000002</v>
      </c>
      <c r="H286" s="7">
        <v>173.62763378073177</v>
      </c>
      <c r="I286" s="4">
        <v>48740.558766900002</v>
      </c>
      <c r="J286" s="4">
        <v>2.1766000000000001</v>
      </c>
      <c r="K286" s="4">
        <v>36.238</v>
      </c>
      <c r="L286" s="7">
        <v>1</v>
      </c>
      <c r="M286" s="4">
        <v>401.36250000000001</v>
      </c>
      <c r="N286" s="4">
        <v>11.997240095343102</v>
      </c>
      <c r="O286" s="4">
        <v>4.0773351370653174E-2</v>
      </c>
      <c r="P286" s="7">
        <v>2.2901383540626711E-2</v>
      </c>
      <c r="Q286" s="4">
        <v>2.0571051242716143</v>
      </c>
      <c r="R286" s="3">
        <v>6.6347999943351605E-3</v>
      </c>
      <c r="S286" s="33">
        <v>0.12870455661971003</v>
      </c>
      <c r="T286" s="5">
        <v>37.9</v>
      </c>
      <c r="U286" s="34">
        <v>0.14311219999999999</v>
      </c>
      <c r="V286">
        <v>6.6159571773543897</v>
      </c>
    </row>
    <row r="287" spans="1:22" ht="16" x14ac:dyDescent="0.2">
      <c r="A287" s="2" t="s">
        <v>82</v>
      </c>
      <c r="B287" s="5">
        <v>2019</v>
      </c>
      <c r="C287" s="4">
        <v>13.30618174659898</v>
      </c>
      <c r="D287" s="4">
        <v>2.5561064847188404</v>
      </c>
      <c r="E287" s="13">
        <v>-3.5485551679960668E-3</v>
      </c>
      <c r="F287" s="4">
        <v>1.0553999999999999</v>
      </c>
      <c r="G287" s="4">
        <v>3489303</v>
      </c>
      <c r="H287" s="7">
        <v>-6.3820892218360834</v>
      </c>
      <c r="I287" s="4">
        <v>59476.472338850006</v>
      </c>
      <c r="J287" s="4">
        <v>2.2673999999999999</v>
      </c>
      <c r="K287" s="4">
        <v>36.6158</v>
      </c>
      <c r="L287" s="7">
        <v>1</v>
      </c>
      <c r="M287" s="4">
        <v>385.7715</v>
      </c>
      <c r="N287" s="4">
        <v>12.150743425635625</v>
      </c>
      <c r="O287" s="4">
        <v>3.6029419950526491E-2</v>
      </c>
      <c r="P287" s="7">
        <v>3.1928358807266896E-2</v>
      </c>
      <c r="Q287" s="4">
        <v>1.6736428908304521</v>
      </c>
      <c r="R287" s="3">
        <v>6.790111065812939E-3</v>
      </c>
      <c r="S287" s="33">
        <v>2.7712383170145276E-2</v>
      </c>
      <c r="T287" s="5">
        <v>37.700000000000003</v>
      </c>
      <c r="U287" s="34">
        <v>0.29669430000000002</v>
      </c>
      <c r="V287">
        <v>6.9083850099290096</v>
      </c>
    </row>
    <row r="288" spans="1:22" ht="16" x14ac:dyDescent="0.2">
      <c r="A288" s="2" t="s">
        <v>82</v>
      </c>
      <c r="B288" s="5">
        <v>2020</v>
      </c>
      <c r="C288" s="4">
        <v>12.113065590488919</v>
      </c>
      <c r="D288" s="4">
        <v>-3.6896261708151887</v>
      </c>
      <c r="E288" s="13">
        <v>6.1366367585831562E-2</v>
      </c>
      <c r="F288" s="4">
        <v>1.0668</v>
      </c>
      <c r="G288" s="4">
        <v>3244069</v>
      </c>
      <c r="H288" s="7">
        <v>-7.0281657970087439</v>
      </c>
      <c r="I288" s="4">
        <v>83590.454500020001</v>
      </c>
      <c r="J288" s="4">
        <v>2.298</v>
      </c>
      <c r="K288" s="4">
        <v>41.446199999999997</v>
      </c>
      <c r="L288" s="7">
        <v>1</v>
      </c>
      <c r="M288" s="4">
        <v>417.32619999999997</v>
      </c>
      <c r="N288" s="4">
        <v>12.426116041524947</v>
      </c>
      <c r="O288" s="4">
        <v>3.5287873190938589E-2</v>
      </c>
      <c r="P288" s="7">
        <v>2.2395201646214263E-2</v>
      </c>
      <c r="Q288" s="4">
        <v>1.753333316066739</v>
      </c>
      <c r="R288" s="3">
        <v>7.3697166865998101E-3</v>
      </c>
      <c r="S288" s="33">
        <v>2.8555740275520065E-2</v>
      </c>
      <c r="T288" s="5">
        <v>37.9</v>
      </c>
      <c r="U288" s="34">
        <v>0.27519169999999998</v>
      </c>
      <c r="V288">
        <v>6.9007672694492497</v>
      </c>
    </row>
    <row r="289" spans="1:22" ht="16" x14ac:dyDescent="0.2">
      <c r="A289" s="2" t="s">
        <v>82</v>
      </c>
      <c r="B289" s="5">
        <v>2021</v>
      </c>
      <c r="C289" s="4">
        <v>12.690732866239243</v>
      </c>
      <c r="D289" s="4">
        <v>0.55447549320326528</v>
      </c>
      <c r="E289" s="13">
        <v>1.8598950134069182E-2</v>
      </c>
      <c r="F289" s="4">
        <v>1.0587</v>
      </c>
      <c r="G289" s="4">
        <v>2993080</v>
      </c>
      <c r="H289" s="7">
        <v>-7.7368576315731881</v>
      </c>
      <c r="I289" s="4">
        <v>104137.12233192001</v>
      </c>
      <c r="J289" s="4">
        <v>2.2132000000000001</v>
      </c>
      <c r="K289" s="4">
        <v>41.235700000000001</v>
      </c>
      <c r="L289" s="7">
        <v>1</v>
      </c>
      <c r="M289" s="4">
        <v>505.0308</v>
      </c>
      <c r="N289" s="4">
        <v>12.666986695051428</v>
      </c>
      <c r="O289" s="4">
        <v>3.9082703759981248E-2</v>
      </c>
      <c r="P289" s="7">
        <v>2.1894255658487204E-2</v>
      </c>
      <c r="Q289" s="4">
        <v>1.7123254110559987</v>
      </c>
      <c r="R289" s="3">
        <v>8.1209223473673667E-3</v>
      </c>
      <c r="S289" s="33">
        <v>0.21328775065622899</v>
      </c>
      <c r="T289" s="5">
        <v>38.5</v>
      </c>
      <c r="U289" s="34">
        <v>0.17849286666666667</v>
      </c>
      <c r="V289">
        <v>6.4489751802431599</v>
      </c>
    </row>
    <row r="290" spans="1:22" ht="16" x14ac:dyDescent="0.2">
      <c r="A290" s="2" t="s">
        <v>82</v>
      </c>
      <c r="B290" s="5">
        <v>2022</v>
      </c>
      <c r="C290" s="4">
        <v>12.434594986070236</v>
      </c>
      <c r="D290" s="4">
        <v>0.98097817672745291</v>
      </c>
      <c r="E290" s="13">
        <v>1.4958349867884125E-2</v>
      </c>
      <c r="F290" s="4">
        <v>1.026</v>
      </c>
      <c r="G290" s="4">
        <v>2660233</v>
      </c>
      <c r="H290" s="7">
        <v>-11.120551405241423</v>
      </c>
      <c r="I290" s="4">
        <v>113732.89728788</v>
      </c>
      <c r="J290" s="4">
        <v>2.0236000000000001</v>
      </c>
      <c r="K290" s="4">
        <v>38.879399999999997</v>
      </c>
      <c r="L290" s="7">
        <v>1</v>
      </c>
      <c r="M290" s="4">
        <v>494.32909999999998</v>
      </c>
      <c r="N290" s="4">
        <v>12.745433827716829</v>
      </c>
      <c r="O290" s="4">
        <v>3.702096141471807E-2</v>
      </c>
      <c r="P290" s="7">
        <v>2.2063087799471099E-2</v>
      </c>
      <c r="Q290" s="4">
        <v>1.6229521038964232</v>
      </c>
      <c r="R290" s="3">
        <v>7.9828937751339341E-3</v>
      </c>
      <c r="S290" s="33">
        <v>8.0082772214906672E-3</v>
      </c>
      <c r="T290" s="5">
        <v>38.299999999999997</v>
      </c>
      <c r="U290" s="34">
        <v>0.37974000833333332</v>
      </c>
      <c r="V290">
        <v>6.7371581123711897</v>
      </c>
    </row>
    <row r="291" spans="1:22" x14ac:dyDescent="0.2">
      <c r="A291" s="2"/>
      <c r="C291" s="4"/>
      <c r="D291" s="4"/>
      <c r="E291" s="13"/>
      <c r="F291" s="4"/>
      <c r="G291" s="4"/>
      <c r="I291" s="4"/>
      <c r="J291" s="4"/>
      <c r="K291" s="4"/>
      <c r="L291" s="7"/>
      <c r="M291" s="4"/>
      <c r="N291" s="4"/>
      <c r="O291" s="4"/>
      <c r="Q291" s="4"/>
      <c r="R291" s="3"/>
      <c r="U291" s="34"/>
    </row>
    <row r="292" spans="1:22" ht="16" x14ac:dyDescent="0.2">
      <c r="A292" s="2" t="s">
        <v>83</v>
      </c>
      <c r="B292" s="5">
        <v>2014</v>
      </c>
      <c r="C292" s="4">
        <v>6.9277765316102515</v>
      </c>
      <c r="D292" s="4">
        <v>1.6749697095700999</v>
      </c>
      <c r="E292" s="13">
        <v>2.0162034009641983E-3</v>
      </c>
      <c r="F292" s="4">
        <v>1.0141</v>
      </c>
      <c r="G292" s="4">
        <v>232649</v>
      </c>
      <c r="H292" s="7">
        <v>2.9844139402497487</v>
      </c>
      <c r="I292" s="4">
        <v>250093.77063432001</v>
      </c>
      <c r="J292" s="4">
        <v>2.3039000000000001</v>
      </c>
      <c r="K292" s="4">
        <v>38.43</v>
      </c>
      <c r="L292" s="7">
        <v>1</v>
      </c>
      <c r="M292" s="4">
        <v>378.10989999999998</v>
      </c>
      <c r="N292" s="4">
        <v>12.996634512820012</v>
      </c>
      <c r="O292" s="4">
        <v>2.1566733792393E-2</v>
      </c>
      <c r="P292" s="7">
        <v>3.5848597172053492E-2</v>
      </c>
      <c r="Q292" s="4">
        <v>1.9626238524237223</v>
      </c>
      <c r="R292" s="3">
        <v>7.1315852795982241E-3</v>
      </c>
      <c r="S292" s="33">
        <v>9.457781607341903E-2</v>
      </c>
      <c r="T292" s="5">
        <v>99.9</v>
      </c>
      <c r="U292" s="34">
        <v>0.12046267500000001</v>
      </c>
      <c r="V292">
        <v>6.1434340944886703</v>
      </c>
    </row>
    <row r="293" spans="1:22" ht="16" x14ac:dyDescent="0.2">
      <c r="A293" s="2" t="s">
        <v>83</v>
      </c>
      <c r="B293" s="5">
        <v>2015</v>
      </c>
      <c r="C293" s="4">
        <v>6.2509334752791634</v>
      </c>
      <c r="D293" s="4">
        <v>2.1561410926879283</v>
      </c>
      <c r="E293" s="13">
        <v>1.2283636763947543E-2</v>
      </c>
      <c r="F293" s="4">
        <v>0.99590000000000001</v>
      </c>
      <c r="G293" s="4">
        <v>218981</v>
      </c>
      <c r="H293" s="7">
        <v>-5.874944659121681</v>
      </c>
      <c r="I293" s="4">
        <v>375730.68903795001</v>
      </c>
      <c r="J293" s="4">
        <v>2.2536</v>
      </c>
      <c r="K293" s="4">
        <v>35.776899999999998</v>
      </c>
      <c r="L293" s="7">
        <v>1</v>
      </c>
      <c r="M293" s="4">
        <v>326.17439999999999</v>
      </c>
      <c r="N293" s="4">
        <v>13.098642238885178</v>
      </c>
      <c r="O293" s="4">
        <v>2.5185277286033626E-2</v>
      </c>
      <c r="P293" s="7">
        <v>3.8546824687341809E-2</v>
      </c>
      <c r="Q293" s="4">
        <v>1.9169673222841157</v>
      </c>
      <c r="R293" s="3">
        <v>7.0456181034224494E-3</v>
      </c>
      <c r="S293" s="33">
        <v>5.5934460075526035E-2</v>
      </c>
      <c r="T293" s="5">
        <v>40.6</v>
      </c>
      <c r="U293" s="34">
        <v>0.11306368333333332</v>
      </c>
      <c r="V293">
        <v>6.22748867298455</v>
      </c>
    </row>
    <row r="294" spans="1:22" ht="16" x14ac:dyDescent="0.2">
      <c r="A294" s="2" t="s">
        <v>83</v>
      </c>
      <c r="B294" s="5">
        <v>2016</v>
      </c>
      <c r="C294" s="4">
        <v>5.2908188855493137</v>
      </c>
      <c r="D294" s="4">
        <v>-0.12108430737552615</v>
      </c>
      <c r="E294" s="13">
        <v>1.5146310621783057E-2</v>
      </c>
      <c r="F294" s="4">
        <v>0.98929999999999996</v>
      </c>
      <c r="G294" s="4">
        <v>449776</v>
      </c>
      <c r="H294" s="7">
        <v>105.39498860631744</v>
      </c>
      <c r="I294" s="4">
        <v>413607.21469619998</v>
      </c>
      <c r="J294" s="4">
        <v>1.7844</v>
      </c>
      <c r="K294" s="4">
        <v>32.866700000000002</v>
      </c>
      <c r="L294" s="7">
        <v>1</v>
      </c>
      <c r="M294" s="4">
        <v>621.45240000000001</v>
      </c>
      <c r="N294" s="4">
        <v>13.269544362322961</v>
      </c>
      <c r="O294" s="4">
        <v>2.4304870959550307E-2</v>
      </c>
      <c r="P294" s="7">
        <v>5.9986707394001186E-2</v>
      </c>
      <c r="Q294" s="4">
        <v>1.9452961761329322</v>
      </c>
      <c r="R294" s="3">
        <v>8.4397523788232523E-3</v>
      </c>
      <c r="S294" s="33">
        <v>1.5525894567969992E-2</v>
      </c>
      <c r="T294" s="5">
        <v>40.6</v>
      </c>
      <c r="U294" s="34">
        <v>0.10788815833333336</v>
      </c>
      <c r="V294">
        <v>6.6444778294468003</v>
      </c>
    </row>
    <row r="295" spans="1:22" ht="16" x14ac:dyDescent="0.2">
      <c r="A295" s="2" t="s">
        <v>83</v>
      </c>
      <c r="B295" s="5">
        <v>2017</v>
      </c>
      <c r="C295" s="4">
        <v>4.9782615192364572</v>
      </c>
      <c r="D295" s="4">
        <v>0.76740854430562788</v>
      </c>
      <c r="E295" s="13">
        <v>1.0502545162284927E-3</v>
      </c>
      <c r="F295" s="4">
        <v>0.98160000000000003</v>
      </c>
      <c r="G295" s="4">
        <v>742291</v>
      </c>
      <c r="H295" s="7">
        <v>65.035706662872187</v>
      </c>
      <c r="I295" s="4">
        <v>497812.24411680002</v>
      </c>
      <c r="J295" s="4">
        <v>1.5192000000000001</v>
      </c>
      <c r="K295" s="4">
        <v>33.931800000000003</v>
      </c>
      <c r="L295" s="7">
        <v>1</v>
      </c>
      <c r="M295" s="4">
        <v>457.61529999999999</v>
      </c>
      <c r="N295" s="4">
        <v>13.350793436082096</v>
      </c>
      <c r="O295" s="4">
        <v>2.5214856344063525E-2</v>
      </c>
      <c r="P295" s="7">
        <v>3.616419473979067E-2</v>
      </c>
      <c r="Q295" s="4">
        <v>2.4453328731642534</v>
      </c>
      <c r="R295" s="3">
        <v>8.902115561622773E-3</v>
      </c>
      <c r="S295" s="33">
        <v>9.5891306540979396E-2</v>
      </c>
      <c r="T295" s="5">
        <v>39.299999999999997</v>
      </c>
      <c r="U295" s="34">
        <v>0.10495592499999999</v>
      </c>
      <c r="V295">
        <v>6.7587550863359702</v>
      </c>
    </row>
    <row r="296" spans="1:22" ht="16" x14ac:dyDescent="0.2">
      <c r="A296" s="2" t="s">
        <v>83</v>
      </c>
      <c r="B296" s="5">
        <v>2018</v>
      </c>
      <c r="C296" s="4">
        <v>5.0850648938662042</v>
      </c>
      <c r="D296" s="4">
        <v>0.57781585260051149</v>
      </c>
      <c r="E296" s="13">
        <v>9.75234157351214E-3</v>
      </c>
      <c r="F296" s="4">
        <v>0.97770000000000001</v>
      </c>
      <c r="G296" s="4">
        <v>3338824</v>
      </c>
      <c r="H296" s="7">
        <v>349.79987632882523</v>
      </c>
      <c r="I296" s="4">
        <v>558594.94913180009</v>
      </c>
      <c r="J296" s="4">
        <v>1.9742</v>
      </c>
      <c r="K296" s="4">
        <v>31.435300000000002</v>
      </c>
      <c r="L296" s="7">
        <v>1</v>
      </c>
      <c r="M296" s="4">
        <v>428.08859999999999</v>
      </c>
      <c r="N296" s="4">
        <v>13.358969896498103</v>
      </c>
      <c r="O296" s="4">
        <v>2.7675256296618697E-2</v>
      </c>
      <c r="P296" s="7">
        <v>4.3062837854723514E-2</v>
      </c>
      <c r="Q296" s="4">
        <v>2.6320376162432382</v>
      </c>
      <c r="R296" s="3">
        <v>9.4066468478189169E-3</v>
      </c>
      <c r="S296" s="33">
        <v>0.12870455661971003</v>
      </c>
      <c r="T296" s="5">
        <v>37.9</v>
      </c>
      <c r="U296" s="34">
        <v>0.14311219999999999</v>
      </c>
      <c r="V296">
        <v>6.6159571773543897</v>
      </c>
    </row>
    <row r="297" spans="1:22" ht="16" x14ac:dyDescent="0.2">
      <c r="A297" s="2" t="s">
        <v>83</v>
      </c>
      <c r="B297" s="5">
        <v>2019</v>
      </c>
      <c r="C297" s="4">
        <v>5.2733353425203191</v>
      </c>
      <c r="D297" s="4">
        <v>0.64074900231593379</v>
      </c>
      <c r="E297" s="13">
        <v>9.1353889476538767E-3</v>
      </c>
      <c r="F297" s="4">
        <v>0.97809999999999997</v>
      </c>
      <c r="G297" s="4">
        <v>2775126</v>
      </c>
      <c r="H297" s="7">
        <v>-16.883130108085961</v>
      </c>
      <c r="I297" s="4">
        <v>606208.71493182005</v>
      </c>
      <c r="J297" s="4">
        <v>2.3092000000000001</v>
      </c>
      <c r="K297" s="4">
        <v>29.617100000000001</v>
      </c>
      <c r="L297" s="7">
        <v>1</v>
      </c>
      <c r="M297" s="4">
        <v>317.238</v>
      </c>
      <c r="N297" s="4">
        <v>13.429493006622209</v>
      </c>
      <c r="O297" s="4">
        <v>2.8021250095105844E-2</v>
      </c>
      <c r="P297" s="7">
        <v>2.4835346484097919E-2</v>
      </c>
      <c r="Q297" s="4">
        <v>2.3941279351844345</v>
      </c>
      <c r="R297" s="3">
        <v>8.9570071800117463E-3</v>
      </c>
      <c r="S297" s="33">
        <v>2.7712383170145276E-2</v>
      </c>
      <c r="T297" s="5">
        <v>37.700000000000003</v>
      </c>
      <c r="U297" s="34">
        <v>0.29669430000000002</v>
      </c>
      <c r="V297">
        <v>6.9083850099290096</v>
      </c>
    </row>
    <row r="298" spans="1:22" ht="16" x14ac:dyDescent="0.2">
      <c r="A298" s="2" t="s">
        <v>83</v>
      </c>
      <c r="B298" s="5">
        <v>2020</v>
      </c>
      <c r="C298" s="4">
        <v>4.8664658092894459</v>
      </c>
      <c r="D298" s="4">
        <v>-33.260644920837635</v>
      </c>
      <c r="E298" s="13">
        <v>0.3548787822632824</v>
      </c>
      <c r="F298" s="4">
        <v>0.96419999999999995</v>
      </c>
      <c r="G298" s="4">
        <v>2210297</v>
      </c>
      <c r="H298" s="7">
        <v>-20.353274049538651</v>
      </c>
      <c r="I298" s="4">
        <v>638363.61409579997</v>
      </c>
      <c r="J298" s="4">
        <v>2.2932999999999999</v>
      </c>
      <c r="K298" s="4">
        <v>30.036000000000001</v>
      </c>
      <c r="L298" s="7">
        <v>1</v>
      </c>
      <c r="M298" s="4">
        <v>287.1191</v>
      </c>
      <c r="N298" s="4">
        <v>13.620008388076792</v>
      </c>
      <c r="O298" s="4">
        <v>2.5027766998892156E-2</v>
      </c>
      <c r="P298" s="7">
        <v>2.7013938394639794E-2</v>
      </c>
      <c r="Q298" s="4">
        <v>2.434574289304658</v>
      </c>
      <c r="R298" s="3">
        <v>8.5922521062459043E-3</v>
      </c>
      <c r="S298" s="33">
        <v>2.8555740275520065E-2</v>
      </c>
      <c r="T298" s="5">
        <v>37.9</v>
      </c>
      <c r="U298" s="34">
        <v>0.27519169999999998</v>
      </c>
      <c r="V298">
        <v>6.9007672694492497</v>
      </c>
    </row>
    <row r="299" spans="1:22" ht="16" x14ac:dyDescent="0.2">
      <c r="A299" s="2" t="s">
        <v>83</v>
      </c>
      <c r="B299" s="5">
        <v>2021</v>
      </c>
      <c r="C299" s="4">
        <v>4.9756716060411037</v>
      </c>
      <c r="D299" s="4">
        <v>0.79993220812137977</v>
      </c>
      <c r="E299" s="13">
        <v>4.4668809470567086E-3</v>
      </c>
      <c r="F299" s="4">
        <v>0.95730000000000004</v>
      </c>
      <c r="G299" s="4">
        <v>1883368</v>
      </c>
      <c r="H299" s="7">
        <v>-14.791179646898131</v>
      </c>
      <c r="I299" s="4">
        <v>650833.08347759</v>
      </c>
      <c r="J299" s="4">
        <v>2.1598999999999999</v>
      </c>
      <c r="K299" s="4">
        <v>29.607900000000001</v>
      </c>
      <c r="L299" s="7">
        <v>1</v>
      </c>
      <c r="M299" s="4">
        <v>335.8254</v>
      </c>
      <c r="N299" s="4">
        <v>13.741398543602383</v>
      </c>
      <c r="O299" s="4">
        <v>2.3185281102056518E-2</v>
      </c>
      <c r="P299" s="7">
        <v>3.7689581473161017E-2</v>
      </c>
      <c r="Q299" s="4">
        <v>2.2096321049832062</v>
      </c>
      <c r="R299" s="3">
        <v>8.9362448760893637E-3</v>
      </c>
      <c r="S299" s="33">
        <v>0.21328775065622899</v>
      </c>
      <c r="T299" s="5">
        <v>38.5</v>
      </c>
      <c r="U299" s="34">
        <v>0.17849286666666667</v>
      </c>
      <c r="V299">
        <v>6.4489751802431599</v>
      </c>
    </row>
    <row r="300" spans="1:22" ht="16" x14ac:dyDescent="0.2">
      <c r="A300" s="2" t="s">
        <v>83</v>
      </c>
      <c r="B300" s="5">
        <v>2022</v>
      </c>
      <c r="C300" s="4">
        <v>4.7595726071224886</v>
      </c>
      <c r="D300" s="4">
        <v>1.9587311215042848E-2</v>
      </c>
      <c r="E300" s="13">
        <v>1.1026951896325649E-2</v>
      </c>
      <c r="F300" s="4">
        <v>0.95409999999999995</v>
      </c>
      <c r="G300" s="4">
        <v>1729758</v>
      </c>
      <c r="H300" s="7">
        <v>-8.1561330552499562</v>
      </c>
      <c r="I300" s="4">
        <v>647622.94393180998</v>
      </c>
      <c r="J300" s="4">
        <v>2.0078999999999998</v>
      </c>
      <c r="K300" s="4">
        <v>30.1647</v>
      </c>
      <c r="L300" s="7">
        <v>1</v>
      </c>
      <c r="M300" s="4">
        <v>338.21859999999998</v>
      </c>
      <c r="N300" s="4">
        <v>13.72482264800224</v>
      </c>
      <c r="O300" s="4">
        <v>2.3218221945666036E-2</v>
      </c>
      <c r="P300" s="7">
        <v>2.1686541418427963E-2</v>
      </c>
      <c r="Q300" s="4">
        <v>2.2783558453780923</v>
      </c>
      <c r="R300" s="3">
        <v>9.037744321153977E-3</v>
      </c>
      <c r="S300" s="33">
        <v>8.0082772214906672E-3</v>
      </c>
      <c r="T300" s="5">
        <v>38.299999999999997</v>
      </c>
      <c r="U300" s="34">
        <v>0.37974000833333332</v>
      </c>
      <c r="V300">
        <v>6.7371581123711897</v>
      </c>
    </row>
    <row r="301" spans="1:22" x14ac:dyDescent="0.2">
      <c r="A301" s="2"/>
      <c r="C301" s="4"/>
      <c r="D301" s="4"/>
      <c r="E301" s="13"/>
      <c r="F301" s="4"/>
      <c r="G301" s="4"/>
      <c r="I301" s="4"/>
      <c r="J301" s="4"/>
      <c r="K301" s="4"/>
      <c r="L301" s="7"/>
      <c r="M301" s="4"/>
      <c r="N301" s="4"/>
      <c r="O301" s="4"/>
      <c r="Q301" s="4"/>
      <c r="R301" s="3"/>
      <c r="U301" s="34"/>
    </row>
    <row r="302" spans="1:22" ht="16" x14ac:dyDescent="0.2">
      <c r="A302" s="2" t="s">
        <v>84</v>
      </c>
      <c r="B302" s="5">
        <v>2014</v>
      </c>
      <c r="C302" s="4">
        <v>4.0128682799971784</v>
      </c>
      <c r="D302" s="4">
        <v>1.2063326408288215</v>
      </c>
      <c r="E302" s="13">
        <v>9.1204772165228865E-3</v>
      </c>
      <c r="F302" s="4">
        <v>1.028</v>
      </c>
      <c r="G302" s="4">
        <v>586390</v>
      </c>
      <c r="H302" s="7">
        <v>53.668156029298075</v>
      </c>
      <c r="I302" s="4">
        <v>340491.60525743995</v>
      </c>
      <c r="J302" s="4">
        <v>2.5861999999999998</v>
      </c>
      <c r="K302" s="4">
        <v>40.4071</v>
      </c>
      <c r="L302" s="7">
        <v>1</v>
      </c>
      <c r="M302" s="4">
        <v>506.0951</v>
      </c>
      <c r="N302" s="4">
        <v>13.379839649075643</v>
      </c>
      <c r="O302" s="4">
        <v>2.1243295819329114E-2</v>
      </c>
      <c r="P302" s="7">
        <v>3.2947752188415912E-2</v>
      </c>
      <c r="Q302" s="4">
        <v>1.7881022974401632</v>
      </c>
      <c r="R302" s="3">
        <v>7.447850847720503E-3</v>
      </c>
      <c r="S302" s="33">
        <v>9.457781607341903E-2</v>
      </c>
      <c r="T302" s="5">
        <v>99.9</v>
      </c>
      <c r="U302" s="34">
        <v>0.12046267500000001</v>
      </c>
      <c r="V302">
        <v>6.1434340944886703</v>
      </c>
    </row>
    <row r="303" spans="1:22" ht="16" x14ac:dyDescent="0.2">
      <c r="A303" s="2" t="s">
        <v>84</v>
      </c>
      <c r="B303" s="5">
        <v>2015</v>
      </c>
      <c r="C303" s="4">
        <v>3.5684733536490563</v>
      </c>
      <c r="D303" s="4">
        <v>1.8031143277657922</v>
      </c>
      <c r="E303" s="13">
        <v>9.1557993329273672E-3</v>
      </c>
      <c r="F303" s="4">
        <v>1.0062</v>
      </c>
      <c r="G303" s="4">
        <v>742292</v>
      </c>
      <c r="H303" s="7">
        <v>26.5867426115725</v>
      </c>
      <c r="I303" s="4">
        <v>505898.9576652</v>
      </c>
      <c r="J303" s="4">
        <v>2.2566000000000002</v>
      </c>
      <c r="K303" s="4">
        <v>38.3872</v>
      </c>
      <c r="L303" s="7">
        <v>1</v>
      </c>
      <c r="M303" s="4">
        <v>449.39589999999998</v>
      </c>
      <c r="N303" s="4">
        <v>13.454297504077863</v>
      </c>
      <c r="O303" s="4">
        <v>2.4620028412265311E-2</v>
      </c>
      <c r="P303" s="7">
        <v>2.8005995049074819E-2</v>
      </c>
      <c r="Q303" s="4">
        <v>1.7954059384172845</v>
      </c>
      <c r="R303" s="3">
        <v>7.495793394386106E-3</v>
      </c>
      <c r="S303" s="33">
        <v>5.5934460075526035E-2</v>
      </c>
      <c r="T303" s="5">
        <v>40.6</v>
      </c>
      <c r="U303" s="34">
        <v>0.11306368333333332</v>
      </c>
      <c r="V303">
        <v>6.22748867298455</v>
      </c>
    </row>
    <row r="304" spans="1:22" ht="16" x14ac:dyDescent="0.2">
      <c r="A304" s="2" t="s">
        <v>84</v>
      </c>
      <c r="B304" s="5">
        <v>2016</v>
      </c>
      <c r="C304" s="4">
        <v>3.0385461850321627</v>
      </c>
      <c r="D304" s="4">
        <v>-0.13132000052996848</v>
      </c>
      <c r="E304" s="13">
        <v>1.3817739549960682E-2</v>
      </c>
      <c r="F304" s="4">
        <v>0.99609999999999999</v>
      </c>
      <c r="G304" s="4">
        <v>1444903</v>
      </c>
      <c r="H304" s="7">
        <v>94.654260048606204</v>
      </c>
      <c r="I304" s="4">
        <v>597089.55082195997</v>
      </c>
      <c r="J304" s="4">
        <v>1.8631</v>
      </c>
      <c r="K304" s="4">
        <v>34.163699999999999</v>
      </c>
      <c r="L304" s="7">
        <v>1</v>
      </c>
      <c r="M304" s="4">
        <v>669.7106</v>
      </c>
      <c r="N304" s="4">
        <v>13.652505305171669</v>
      </c>
      <c r="O304" s="4">
        <v>2.6159557391490909E-2</v>
      </c>
      <c r="P304" s="7">
        <v>2.9011651104549206E-2</v>
      </c>
      <c r="Q304" s="4">
        <v>1.8130425362638183</v>
      </c>
      <c r="R304" s="3">
        <v>7.9863523128693038E-3</v>
      </c>
      <c r="S304" s="33">
        <v>1.5525894567969992E-2</v>
      </c>
      <c r="T304" s="5">
        <v>40.6</v>
      </c>
      <c r="U304" s="34">
        <v>0.10788815833333336</v>
      </c>
      <c r="V304">
        <v>6.6444778294468003</v>
      </c>
    </row>
    <row r="305" spans="1:22" ht="16" x14ac:dyDescent="0.2">
      <c r="A305" s="2" t="s">
        <v>84</v>
      </c>
      <c r="B305" s="5">
        <v>2017</v>
      </c>
      <c r="C305" s="4">
        <v>2.8277757165337829</v>
      </c>
      <c r="D305" s="4">
        <v>0.33752367813262291</v>
      </c>
      <c r="E305" s="13">
        <v>6.1863658714749218E-3</v>
      </c>
      <c r="F305" s="4">
        <v>0.98770000000000002</v>
      </c>
      <c r="G305" s="4">
        <v>1966772</v>
      </c>
      <c r="H305" s="7">
        <v>36.117926255257274</v>
      </c>
      <c r="I305" s="4">
        <v>736003.28588335996</v>
      </c>
      <c r="J305" s="4">
        <v>1.5041</v>
      </c>
      <c r="K305" s="4">
        <v>34.153100000000002</v>
      </c>
      <c r="L305" s="7">
        <v>1</v>
      </c>
      <c r="M305" s="4">
        <v>617.63469999999995</v>
      </c>
      <c r="N305" s="4">
        <v>13.717983990426273</v>
      </c>
      <c r="O305" s="4">
        <v>2.6573053538175895E-2</v>
      </c>
      <c r="P305" s="7">
        <v>1.8475450266684901E-2</v>
      </c>
      <c r="Q305" s="4">
        <v>2.3836398930468037</v>
      </c>
      <c r="R305" s="3">
        <v>9.4538514054744536E-3</v>
      </c>
      <c r="S305" s="33">
        <v>9.5891306540979396E-2</v>
      </c>
      <c r="T305" s="5">
        <v>39.299999999999997</v>
      </c>
      <c r="U305" s="34">
        <v>0.10495592499999999</v>
      </c>
      <c r="V305">
        <v>6.7587550863359702</v>
      </c>
    </row>
    <row r="306" spans="1:22" ht="16" x14ac:dyDescent="0.2">
      <c r="A306" s="2" t="s">
        <v>84</v>
      </c>
      <c r="B306" s="5">
        <v>2018</v>
      </c>
      <c r="C306" s="4">
        <v>2.8512225285608541</v>
      </c>
      <c r="D306" s="4">
        <v>0.50475968490615097</v>
      </c>
      <c r="E306" s="13">
        <v>8.3799824327941645E-3</v>
      </c>
      <c r="F306" s="4">
        <v>0.9718</v>
      </c>
      <c r="G306" s="4">
        <v>3392233</v>
      </c>
      <c r="H306" s="7">
        <v>72.477185967666813</v>
      </c>
      <c r="I306" s="4">
        <v>783070.08317865001</v>
      </c>
      <c r="J306" s="4">
        <v>1.3546</v>
      </c>
      <c r="K306" s="4">
        <v>32.326099999999997</v>
      </c>
      <c r="L306" s="7">
        <v>1</v>
      </c>
      <c r="M306" s="4">
        <v>530.26229999999998</v>
      </c>
      <c r="N306" s="4">
        <v>13.678006049701331</v>
      </c>
      <c r="O306" s="4">
        <v>2.3125922281981546E-2</v>
      </c>
      <c r="P306" s="7">
        <v>2.3019183408347237E-2</v>
      </c>
      <c r="Q306" s="4">
        <v>2.6991069123169207</v>
      </c>
      <c r="R306" s="3">
        <v>9.640141266072386E-3</v>
      </c>
      <c r="S306" s="33">
        <v>0.12870455661971003</v>
      </c>
      <c r="T306" s="5">
        <v>37.9</v>
      </c>
      <c r="U306" s="34">
        <v>0.14311219999999999</v>
      </c>
      <c r="V306">
        <v>6.6159571773543897</v>
      </c>
    </row>
    <row r="307" spans="1:22" ht="16" x14ac:dyDescent="0.2">
      <c r="A307" s="2" t="s">
        <v>84</v>
      </c>
      <c r="B307" s="5">
        <v>2019</v>
      </c>
      <c r="C307" s="4">
        <v>2.8839837277664215</v>
      </c>
      <c r="D307" s="4">
        <v>0.63515799369628356</v>
      </c>
      <c r="E307" s="13">
        <v>4.532853818753171E-3</v>
      </c>
      <c r="F307" s="4">
        <v>0.97419999999999995</v>
      </c>
      <c r="G307" s="4">
        <v>3865060</v>
      </c>
      <c r="H307" s="7">
        <v>13.938517784597934</v>
      </c>
      <c r="I307" s="4">
        <v>781758.31673309999</v>
      </c>
      <c r="J307" s="4">
        <v>2.1427999999999998</v>
      </c>
      <c r="K307" s="4">
        <v>30.046099999999999</v>
      </c>
      <c r="L307" s="7">
        <v>1</v>
      </c>
      <c r="M307" s="4">
        <v>456.55790000000002</v>
      </c>
      <c r="N307" s="4">
        <v>13.774236245538697</v>
      </c>
      <c r="O307" s="4">
        <v>1.6393503676849948E-2</v>
      </c>
      <c r="P307" s="7">
        <v>2.1658800674137245E-2</v>
      </c>
      <c r="Q307" s="4">
        <v>2.3529384566179496</v>
      </c>
      <c r="R307" s="3">
        <v>9.5953252277857313E-3</v>
      </c>
      <c r="S307" s="33">
        <v>2.7712383170145276E-2</v>
      </c>
      <c r="T307" s="5">
        <v>37.700000000000003</v>
      </c>
      <c r="U307" s="34">
        <v>0.29669430000000002</v>
      </c>
      <c r="V307">
        <v>6.9083850099290096</v>
      </c>
    </row>
    <row r="308" spans="1:22" ht="16" x14ac:dyDescent="0.2">
      <c r="A308" s="2" t="s">
        <v>84</v>
      </c>
      <c r="B308" s="5">
        <v>2020</v>
      </c>
      <c r="C308" s="4">
        <v>1.805396617635195</v>
      </c>
      <c r="D308" s="4">
        <v>-32.717520845591288</v>
      </c>
      <c r="E308" s="13">
        <v>0.34369296447506575</v>
      </c>
      <c r="F308" s="4">
        <v>0.96479999999999999</v>
      </c>
      <c r="G308" s="4">
        <v>3390064</v>
      </c>
      <c r="H308" s="7">
        <v>-12.289485803583904</v>
      </c>
      <c r="I308" s="4">
        <v>1073211.92</v>
      </c>
      <c r="J308" s="4">
        <v>2.1368999999999998</v>
      </c>
      <c r="K308" s="4">
        <v>34.404000000000003</v>
      </c>
      <c r="L308" s="7">
        <v>1</v>
      </c>
      <c r="M308" s="4">
        <v>466.80189999999999</v>
      </c>
      <c r="N308" s="4">
        <v>13.878297546063038</v>
      </c>
      <c r="O308" s="4">
        <v>1.8587255409221782E-2</v>
      </c>
      <c r="P308" s="7">
        <v>2.2711884005278762E-2</v>
      </c>
      <c r="Q308" s="4">
        <v>4.0700438545654762</v>
      </c>
      <c r="R308" s="3">
        <v>1.0241099927893455E-2</v>
      </c>
      <c r="S308" s="33">
        <v>2.8555740275520065E-2</v>
      </c>
      <c r="T308" s="5">
        <v>37.9</v>
      </c>
      <c r="U308" s="34">
        <v>0.27519169999999998</v>
      </c>
      <c r="V308">
        <v>6.9007672694492497</v>
      </c>
    </row>
    <row r="309" spans="1:22" ht="16" x14ac:dyDescent="0.2">
      <c r="A309" s="2" t="s">
        <v>84</v>
      </c>
      <c r="B309" s="5">
        <v>2021</v>
      </c>
      <c r="C309" s="4">
        <v>1.7981997415100555</v>
      </c>
      <c r="D309" s="4">
        <v>0.78291804312607172</v>
      </c>
      <c r="E309" s="13">
        <v>9.1537328581646756E-5</v>
      </c>
      <c r="F309" s="4">
        <v>0.94020000000000004</v>
      </c>
      <c r="G309" s="4">
        <v>4099997</v>
      </c>
      <c r="H309" s="7">
        <v>20.941581043897699</v>
      </c>
      <c r="I309" s="4">
        <v>1138093.56</v>
      </c>
      <c r="J309" s="4">
        <v>1.9069</v>
      </c>
      <c r="K309" s="4">
        <v>36.318100000000001</v>
      </c>
      <c r="L309" s="7">
        <v>1</v>
      </c>
      <c r="M309" s="4">
        <v>417.08049999999997</v>
      </c>
      <c r="N309" s="4">
        <v>13.905259850107882</v>
      </c>
      <c r="O309" s="4">
        <v>2.5495857095617074E-2</v>
      </c>
      <c r="P309" s="7">
        <v>2.3489033813008788E-2</v>
      </c>
      <c r="Q309" s="4">
        <v>4.2669662676759161</v>
      </c>
      <c r="R309" s="3">
        <v>1.0642241900005742E-2</v>
      </c>
      <c r="S309" s="33">
        <v>0.21328775065622899</v>
      </c>
      <c r="T309" s="5">
        <v>38.5</v>
      </c>
      <c r="U309" s="34">
        <v>0.17849286666666667</v>
      </c>
      <c r="V309">
        <v>6.4489751802431599</v>
      </c>
    </row>
    <row r="310" spans="1:22" ht="16" x14ac:dyDescent="0.2">
      <c r="A310" s="2" t="s">
        <v>84</v>
      </c>
      <c r="B310" s="5">
        <v>2022</v>
      </c>
      <c r="C310" s="4">
        <v>1.8044064402379094</v>
      </c>
      <c r="D310" s="4">
        <v>-0.14042587206328663</v>
      </c>
      <c r="E310" s="13">
        <v>1.2341002681240158E-2</v>
      </c>
      <c r="F310" s="4">
        <v>0.93689999999999996</v>
      </c>
      <c r="G310" s="4">
        <v>3811811</v>
      </c>
      <c r="H310" s="7">
        <v>-7.0289319723892474</v>
      </c>
      <c r="I310" s="4">
        <v>1005836.3400000001</v>
      </c>
      <c r="J310" s="4">
        <v>1.5968</v>
      </c>
      <c r="K310" s="4">
        <v>40.6633</v>
      </c>
      <c r="L310" s="7">
        <v>1</v>
      </c>
      <c r="M310" s="4">
        <v>406.44369999999998</v>
      </c>
      <c r="N310" s="4">
        <v>13.866013540137381</v>
      </c>
      <c r="O310" s="4">
        <v>2.3411141849998221E-2</v>
      </c>
      <c r="P310" s="7">
        <v>1.7679147686092304E-2</v>
      </c>
      <c r="Q310" s="4">
        <v>4.1827817862925833</v>
      </c>
      <c r="R310" s="3">
        <v>1.0293400059587867E-2</v>
      </c>
      <c r="S310" s="33">
        <v>8.0082772214906672E-3</v>
      </c>
      <c r="T310" s="5">
        <v>38.299999999999997</v>
      </c>
      <c r="U310" s="34">
        <v>0.37974000833333332</v>
      </c>
      <c r="V310">
        <v>6.7371581123711897</v>
      </c>
    </row>
    <row r="311" spans="1:22" x14ac:dyDescent="0.2">
      <c r="A311" s="2"/>
      <c r="C311" s="4"/>
      <c r="D311" s="4"/>
      <c r="E311" s="13"/>
      <c r="F311" s="4"/>
      <c r="G311" s="4"/>
      <c r="I311" s="4"/>
      <c r="J311" s="4"/>
      <c r="K311" s="4"/>
      <c r="L311" s="7"/>
      <c r="M311" s="4"/>
      <c r="N311" s="4"/>
      <c r="O311" s="4"/>
      <c r="Q311" s="4"/>
      <c r="R311" s="3"/>
    </row>
    <row r="312" spans="1:22" ht="16" x14ac:dyDescent="0.2">
      <c r="A312" s="2" t="s">
        <v>85</v>
      </c>
      <c r="B312" s="5">
        <v>2014</v>
      </c>
      <c r="C312" s="4">
        <v>6.3906119725431063</v>
      </c>
      <c r="D312" s="4">
        <v>-25.442539629629405</v>
      </c>
      <c r="E312" s="13">
        <v>0.27483939164229204</v>
      </c>
      <c r="F312" s="4">
        <v>0.99119999999999997</v>
      </c>
      <c r="G312" s="4">
        <v>0</v>
      </c>
      <c r="H312" s="7">
        <v>-100</v>
      </c>
      <c r="I312" s="4">
        <v>30399.080618910004</v>
      </c>
      <c r="J312" s="4">
        <v>3.3679000000000001</v>
      </c>
      <c r="K312" s="4">
        <v>43.423200000000001</v>
      </c>
      <c r="L312" s="7">
        <v>1</v>
      </c>
      <c r="M312" s="4">
        <v>359.5899</v>
      </c>
      <c r="N312" s="4">
        <v>11.509939069125906</v>
      </c>
      <c r="O312" s="4">
        <v>3.5829083696608623E-2</v>
      </c>
      <c r="P312" s="7">
        <v>8.9109569478720937E-2</v>
      </c>
      <c r="Q312" s="4">
        <v>1.6196409829220908</v>
      </c>
      <c r="R312" s="3">
        <v>5.9113033179932113E-3</v>
      </c>
      <c r="S312" s="33">
        <v>9.457781607341903E-2</v>
      </c>
      <c r="T312" s="5">
        <v>99.9</v>
      </c>
      <c r="U312" s="34">
        <v>0.12046267500000001</v>
      </c>
      <c r="V312">
        <v>6.1434340944886703</v>
      </c>
    </row>
    <row r="313" spans="1:22" ht="16" x14ac:dyDescent="0.2">
      <c r="A313" s="2" t="s">
        <v>85</v>
      </c>
      <c r="B313" s="5">
        <v>2015</v>
      </c>
      <c r="C313" s="4">
        <v>5.7046035081149338</v>
      </c>
      <c r="D313" s="4">
        <v>3.7174312162503775</v>
      </c>
      <c r="E313" s="13">
        <v>-1.0839408051795845E-2</v>
      </c>
      <c r="F313" s="4">
        <v>0.98570000000000002</v>
      </c>
      <c r="G313" s="4">
        <v>1109.739</v>
      </c>
      <c r="H313" s="32">
        <v>1109.739</v>
      </c>
      <c r="I313" s="4">
        <v>40527.807780880001</v>
      </c>
      <c r="J313" s="4">
        <v>3.2006999999999999</v>
      </c>
      <c r="K313" s="4">
        <v>41.938000000000002</v>
      </c>
      <c r="L313" s="7">
        <v>1</v>
      </c>
      <c r="M313" s="4">
        <v>383.78769999999997</v>
      </c>
      <c r="N313" s="4">
        <v>11.612682167957947</v>
      </c>
      <c r="O313" s="4">
        <v>4.1122041611625151E-2</v>
      </c>
      <c r="P313" s="7">
        <v>0.11621847992838027</v>
      </c>
      <c r="Q313" s="4">
        <v>1.5679713117037264</v>
      </c>
      <c r="R313" s="3">
        <v>5.7118121588719791E-3</v>
      </c>
      <c r="S313" s="33">
        <v>5.5934460075526035E-2</v>
      </c>
      <c r="T313" s="5">
        <v>40.6</v>
      </c>
      <c r="U313" s="34">
        <v>0.11306368333333332</v>
      </c>
      <c r="V313">
        <v>6.22748867298455</v>
      </c>
    </row>
    <row r="314" spans="1:22" ht="16" x14ac:dyDescent="0.2">
      <c r="A314" s="2" t="s">
        <v>85</v>
      </c>
      <c r="B314" s="5">
        <v>2016</v>
      </c>
      <c r="C314" s="4">
        <v>5.5253954672639889</v>
      </c>
      <c r="D314" s="4">
        <v>-6.8500520171877292E-3</v>
      </c>
      <c r="E314" s="13">
        <v>1.7648516536456871E-2</v>
      </c>
      <c r="F314" s="4">
        <v>0.98170000000000002</v>
      </c>
      <c r="G314" s="4">
        <v>4367.8459999999995</v>
      </c>
      <c r="H314" s="7">
        <v>293.59218699171601</v>
      </c>
      <c r="I314" s="4">
        <v>41397.974071789999</v>
      </c>
      <c r="J314" s="4">
        <v>2.7353000000000001</v>
      </c>
      <c r="K314" s="4">
        <v>39.364100000000001</v>
      </c>
      <c r="L314" s="7">
        <v>1</v>
      </c>
      <c r="M314" s="4">
        <v>401.26530000000002</v>
      </c>
      <c r="N314" s="4">
        <v>11.659047855869183</v>
      </c>
      <c r="O314" s="4">
        <v>4.0959208782806532E-2</v>
      </c>
      <c r="P314" s="7">
        <v>8.6609671422122558E-2</v>
      </c>
      <c r="Q314" s="4">
        <v>1.2645979530791118</v>
      </c>
      <c r="R314" s="3">
        <v>5.7975584554181428E-3</v>
      </c>
      <c r="S314" s="33">
        <v>1.5525894567969992E-2</v>
      </c>
      <c r="T314" s="5">
        <v>40.6</v>
      </c>
      <c r="U314" s="34">
        <v>0.10788815833333336</v>
      </c>
      <c r="V314">
        <v>6.6444778294468003</v>
      </c>
    </row>
    <row r="315" spans="1:22" ht="16" x14ac:dyDescent="0.2">
      <c r="A315" s="2" t="s">
        <v>85</v>
      </c>
      <c r="B315" s="5">
        <v>2017</v>
      </c>
      <c r="C315" s="4">
        <v>5.5500306247011526</v>
      </c>
      <c r="D315" s="4">
        <v>0.68568305894534076</v>
      </c>
      <c r="E315" s="13">
        <v>8.544766897545561E-3</v>
      </c>
      <c r="F315" s="4">
        <v>0.98040000000000005</v>
      </c>
      <c r="G315" s="4">
        <v>6444.9390000000003</v>
      </c>
      <c r="H315" s="7">
        <v>47.554172010643256</v>
      </c>
      <c r="I315" s="4">
        <v>50740.945522200003</v>
      </c>
      <c r="J315" s="4">
        <v>2.6229</v>
      </c>
      <c r="K315" s="4">
        <v>35.334800000000001</v>
      </c>
      <c r="L315" s="7">
        <v>1</v>
      </c>
      <c r="M315" s="4">
        <v>385.08679999999998</v>
      </c>
      <c r="N315" s="4">
        <v>11.843717195164237</v>
      </c>
      <c r="O315" s="4">
        <v>4.2077995257139691E-2</v>
      </c>
      <c r="P315" s="7">
        <v>5.3637828904609601E-2</v>
      </c>
      <c r="Q315" s="4">
        <v>1.4872982343101671</v>
      </c>
      <c r="R315" s="3">
        <v>5.9132420074357959E-3</v>
      </c>
      <c r="S315" s="33">
        <v>9.5891306540979396E-2</v>
      </c>
      <c r="T315" s="5">
        <v>39.299999999999997</v>
      </c>
      <c r="U315" s="34">
        <v>0.10495592499999999</v>
      </c>
      <c r="V315">
        <v>6.7587550863359702</v>
      </c>
    </row>
    <row r="316" spans="1:22" ht="16" x14ac:dyDescent="0.2">
      <c r="A316" s="2" t="s">
        <v>85</v>
      </c>
      <c r="B316" s="5">
        <v>2018</v>
      </c>
      <c r="C316" s="4">
        <v>5.2221626430214103</v>
      </c>
      <c r="D316" s="4">
        <v>0.9240135546937428</v>
      </c>
      <c r="E316" s="13">
        <v>1.1809680392701789E-2</v>
      </c>
      <c r="F316" s="4">
        <v>0.96440000000000003</v>
      </c>
      <c r="G316" s="4">
        <v>12285.19</v>
      </c>
      <c r="H316" s="7">
        <v>90.6176303608149</v>
      </c>
      <c r="I316" s="4">
        <v>71615.943560139989</v>
      </c>
      <c r="J316" s="4">
        <v>2.4392</v>
      </c>
      <c r="K316" s="4">
        <v>31.5962</v>
      </c>
      <c r="L316" s="7">
        <v>1</v>
      </c>
      <c r="M316" s="4">
        <v>344.23149999999998</v>
      </c>
      <c r="N316" s="4">
        <v>11.836467014435323</v>
      </c>
      <c r="O316" s="4">
        <v>4.489085473305339E-2</v>
      </c>
      <c r="P316" s="7">
        <v>3.642881137817118E-2</v>
      </c>
      <c r="Q316" s="4">
        <v>1.6730942699560833</v>
      </c>
      <c r="R316" s="3">
        <v>6.185601233175954E-3</v>
      </c>
      <c r="S316" s="33">
        <v>0.12870455661971003</v>
      </c>
      <c r="T316" s="5">
        <v>37.9</v>
      </c>
      <c r="U316" s="34">
        <v>0.14311219999999999</v>
      </c>
      <c r="V316">
        <v>6.6159571773543897</v>
      </c>
    </row>
    <row r="317" spans="1:22" ht="16" x14ac:dyDescent="0.2">
      <c r="A317" s="2" t="s">
        <v>85</v>
      </c>
      <c r="B317" s="5">
        <v>2019</v>
      </c>
      <c r="C317" s="4">
        <v>5.3243436873691383</v>
      </c>
      <c r="D317" s="4">
        <v>0.83159186076596137</v>
      </c>
      <c r="E317" s="13">
        <v>6.491071705113198E-3</v>
      </c>
      <c r="F317" s="4">
        <v>0.98099999999999998</v>
      </c>
      <c r="G317" s="4">
        <v>16756.363000000001</v>
      </c>
      <c r="H317" s="7">
        <v>36.394821732508817</v>
      </c>
      <c r="I317" s="4">
        <v>78409.213083080002</v>
      </c>
      <c r="J317" s="4">
        <v>2.3336000000000001</v>
      </c>
      <c r="K317" s="4">
        <v>32.647799999999997</v>
      </c>
      <c r="L317" s="7">
        <v>1</v>
      </c>
      <c r="M317" s="4">
        <v>283.52800000000002</v>
      </c>
      <c r="N317" s="4">
        <v>11.904197698376299</v>
      </c>
      <c r="O317" s="4">
        <v>4.7460133590796538E-2</v>
      </c>
      <c r="P317" s="7">
        <v>1.9948978412531317E-2</v>
      </c>
      <c r="Q317" s="4">
        <v>1.780951958421688</v>
      </c>
      <c r="R317" s="3">
        <v>6.490703812366487E-3</v>
      </c>
      <c r="S317" s="33">
        <v>2.7712383170145276E-2</v>
      </c>
      <c r="T317" s="5">
        <v>37.700000000000003</v>
      </c>
      <c r="U317" s="34">
        <v>0.29669430000000002</v>
      </c>
      <c r="V317">
        <v>6.9083850099290096</v>
      </c>
    </row>
    <row r="318" spans="1:22" ht="16" x14ac:dyDescent="0.2">
      <c r="A318" s="2" t="s">
        <v>85</v>
      </c>
      <c r="B318" s="5">
        <v>2020</v>
      </c>
      <c r="C318" s="4">
        <v>4.265465726687343</v>
      </c>
      <c r="D318" s="4">
        <v>1.2351438320389496</v>
      </c>
      <c r="E318" s="13">
        <v>6.1330496072583762E-3</v>
      </c>
      <c r="F318" s="4">
        <v>0.95879999999999999</v>
      </c>
      <c r="G318" s="4">
        <v>11311.941000000001</v>
      </c>
      <c r="H318" s="7">
        <v>-32.491668985686211</v>
      </c>
      <c r="I318" s="4">
        <v>101807.35525349999</v>
      </c>
      <c r="J318" s="4">
        <v>2.2477999999999998</v>
      </c>
      <c r="K318" s="4">
        <v>28.623699999999999</v>
      </c>
      <c r="L318" s="7">
        <v>1</v>
      </c>
      <c r="M318" s="4">
        <v>321.40629999999999</v>
      </c>
      <c r="N318" s="4">
        <v>12.066981064237808</v>
      </c>
      <c r="O318" s="4">
        <v>4.1195213871919913E-2</v>
      </c>
      <c r="P318" s="7">
        <v>1.6955214070721546E-2</v>
      </c>
      <c r="Q318" s="4">
        <v>2.146685135360439</v>
      </c>
      <c r="R318" s="3">
        <v>7.0053284042244646E-3</v>
      </c>
      <c r="S318" s="33">
        <v>2.8555740275520065E-2</v>
      </c>
      <c r="T318" s="5">
        <v>37.9</v>
      </c>
      <c r="U318" s="34">
        <v>0.27519169999999998</v>
      </c>
      <c r="V318">
        <v>6.9007672694492497</v>
      </c>
    </row>
    <row r="319" spans="1:22" ht="16" x14ac:dyDescent="0.2">
      <c r="A319" s="2" t="s">
        <v>85</v>
      </c>
      <c r="B319" s="5">
        <v>2021</v>
      </c>
      <c r="C319" s="4">
        <v>4.3691500169779625</v>
      </c>
      <c r="D319" s="4">
        <v>-0.61770141548811675</v>
      </c>
      <c r="E319" s="13">
        <v>2.0782576655209915E-2</v>
      </c>
      <c r="F319" s="4">
        <v>0.94850000000000001</v>
      </c>
      <c r="G319" s="4">
        <v>12043.384</v>
      </c>
      <c r="H319" s="7">
        <v>6.4661139940528276</v>
      </c>
      <c r="I319" s="4">
        <v>114852.95641870001</v>
      </c>
      <c r="J319" s="4">
        <v>2.1671999999999998</v>
      </c>
      <c r="K319" s="4">
        <v>28.043900000000001</v>
      </c>
      <c r="L319" s="7">
        <v>1</v>
      </c>
      <c r="M319" s="4">
        <v>364.76589999999999</v>
      </c>
      <c r="N319" s="4">
        <v>12.202187888623609</v>
      </c>
      <c r="O319" s="4">
        <v>4.2653608196099022E-2</v>
      </c>
      <c r="P319" s="7">
        <v>2.8242698940144386E-2</v>
      </c>
      <c r="Q319" s="4">
        <v>2.2777091295197454</v>
      </c>
      <c r="R319" s="3">
        <v>7.6665350539357816E-3</v>
      </c>
      <c r="S319" s="33">
        <v>0.21328775065622899</v>
      </c>
      <c r="T319" s="5">
        <v>38.5</v>
      </c>
      <c r="U319" s="34">
        <v>0.17849286666666667</v>
      </c>
      <c r="V319">
        <v>6.4489751802431599</v>
      </c>
    </row>
    <row r="320" spans="1:22" ht="16" x14ac:dyDescent="0.2">
      <c r="A320" s="2" t="s">
        <v>85</v>
      </c>
      <c r="B320" s="5">
        <v>2022</v>
      </c>
      <c r="C320" s="4">
        <v>4.3204249680836364</v>
      </c>
      <c r="D320" s="4">
        <v>-9.6371250515366071</v>
      </c>
      <c r="E320" s="13">
        <v>0.10991012281154269</v>
      </c>
      <c r="F320" s="4">
        <v>0.94340000000000002</v>
      </c>
      <c r="G320" s="4">
        <v>6648.3280000000004</v>
      </c>
      <c r="H320" s="7">
        <v>-44.796844474941587</v>
      </c>
      <c r="I320" s="4">
        <v>111852.1280466</v>
      </c>
      <c r="J320" s="4">
        <v>1.9681999999999999</v>
      </c>
      <c r="K320" s="4">
        <v>31.992699999999999</v>
      </c>
      <c r="L320" s="7">
        <v>1</v>
      </c>
      <c r="M320" s="4">
        <v>340.90190000000001</v>
      </c>
      <c r="N320" s="4">
        <v>12.185999832837206</v>
      </c>
      <c r="O320" s="4">
        <v>4.3610929553343683E-2</v>
      </c>
      <c r="P320" s="7">
        <v>2.330246096028267E-2</v>
      </c>
      <c r="Q320" s="4">
        <v>2.2358381162698313</v>
      </c>
      <c r="R320" s="3">
        <v>7.6693055225205437E-3</v>
      </c>
      <c r="S320" s="33">
        <v>8.0082772214906672E-3</v>
      </c>
      <c r="T320" s="5">
        <v>38.299999999999997</v>
      </c>
      <c r="U320" s="34">
        <v>0.37974000833333332</v>
      </c>
      <c r="V320">
        <v>6.7371581123711897</v>
      </c>
    </row>
    <row r="321" spans="1:22" x14ac:dyDescent="0.2">
      <c r="A321" s="2" t="s">
        <v>91</v>
      </c>
      <c r="C321" s="4"/>
      <c r="D321" s="4"/>
      <c r="E321" s="13"/>
      <c r="F321" s="4"/>
      <c r="G321" s="4"/>
      <c r="I321" s="4"/>
      <c r="J321" s="4"/>
      <c r="K321" s="4"/>
      <c r="L321" s="7"/>
      <c r="M321" s="4"/>
      <c r="N321" s="4"/>
      <c r="O321" s="4"/>
      <c r="Q321" s="4"/>
      <c r="R321" s="3"/>
    </row>
    <row r="322" spans="1:22" ht="16" x14ac:dyDescent="0.2">
      <c r="A322" s="2" t="s">
        <v>31</v>
      </c>
      <c r="B322" s="5">
        <v>2014</v>
      </c>
      <c r="C322" s="8">
        <v>13.307513026130838</v>
      </c>
      <c r="D322" s="4">
        <v>3.1802150900411044</v>
      </c>
      <c r="E322" s="6">
        <v>-1.4716038986051084E-2</v>
      </c>
      <c r="F322" s="11">
        <v>1.0358000000000001</v>
      </c>
      <c r="G322" s="8">
        <v>150824332</v>
      </c>
      <c r="H322" s="7">
        <v>-0.99608910994036359</v>
      </c>
      <c r="I322" s="4">
        <v>185879.52278667997</v>
      </c>
      <c r="J322" s="11">
        <v>2.4908999999999999</v>
      </c>
      <c r="K322" s="11">
        <v>73.937899999999999</v>
      </c>
      <c r="L322" s="7">
        <v>1</v>
      </c>
      <c r="M322" s="8">
        <v>235.92830000000001</v>
      </c>
      <c r="N322" s="8">
        <v>12.641847984813294</v>
      </c>
      <c r="O322" s="8">
        <v>1.1323908027564528E-2</v>
      </c>
      <c r="P322" s="8">
        <v>1.6567902632977614E-2</v>
      </c>
      <c r="Q322" s="8">
        <v>1.9002248967382915</v>
      </c>
      <c r="R322" s="3">
        <v>1.1571742425614165E-2</v>
      </c>
      <c r="S322" s="33">
        <v>8.2815448769750916E-2</v>
      </c>
      <c r="T322" s="5">
        <v>49.8</v>
      </c>
      <c r="U322" s="34">
        <v>0.29875190000000001</v>
      </c>
      <c r="V322">
        <v>1052.8399999999999</v>
      </c>
    </row>
    <row r="323" spans="1:22" ht="16" x14ac:dyDescent="0.2">
      <c r="A323" s="2" t="s">
        <v>31</v>
      </c>
      <c r="B323" s="5">
        <v>2015</v>
      </c>
      <c r="C323" s="8">
        <v>13.721907433524663</v>
      </c>
      <c r="D323" s="4">
        <v>-2.0438862858989673</v>
      </c>
      <c r="E323" s="6">
        <v>4.0430361736552796E-2</v>
      </c>
      <c r="F323" s="11">
        <v>1.0258</v>
      </c>
      <c r="G323" s="8">
        <v>184331961</v>
      </c>
      <c r="H323" s="7">
        <v>22.216328463500172</v>
      </c>
      <c r="I323" s="4">
        <v>143852.07329679999</v>
      </c>
      <c r="J323" s="11">
        <v>2.2553999999999998</v>
      </c>
      <c r="K323" s="11">
        <v>71.724100000000007</v>
      </c>
      <c r="L323" s="7">
        <v>1</v>
      </c>
      <c r="M323" s="8">
        <v>226.06960000000001</v>
      </c>
      <c r="N323" s="8">
        <v>12.660707360730832</v>
      </c>
      <c r="O323" s="8">
        <v>9.3198988574862748E-3</v>
      </c>
      <c r="P323" s="8">
        <v>1.243315551635763E-2</v>
      </c>
      <c r="Q323" s="8">
        <v>1.4893311030973606</v>
      </c>
      <c r="R323" s="3">
        <v>1.1427959231179344E-2</v>
      </c>
      <c r="S323" s="33">
        <v>-1.2493934145101969E-2</v>
      </c>
      <c r="T323" s="5">
        <v>50.1</v>
      </c>
      <c r="U323" s="34">
        <v>0.11522837500000001</v>
      </c>
      <c r="V323">
        <v>1130.9525000000001</v>
      </c>
    </row>
    <row r="324" spans="1:22" ht="16" x14ac:dyDescent="0.2">
      <c r="A324" s="2" t="s">
        <v>31</v>
      </c>
      <c r="B324" s="5">
        <v>2016</v>
      </c>
      <c r="C324" s="8">
        <v>14.640564341011409</v>
      </c>
      <c r="D324" s="4">
        <v>5.1400401595364054</v>
      </c>
      <c r="E324" s="6">
        <v>-3.4136192105875873E-2</v>
      </c>
      <c r="F324" s="11">
        <v>1.0331999999999999</v>
      </c>
      <c r="G324" s="8">
        <v>236414522</v>
      </c>
      <c r="H324" s="7">
        <v>28.254764240261082</v>
      </c>
      <c r="I324" s="4">
        <v>132101.98318037999</v>
      </c>
      <c r="J324" s="11">
        <v>2.2225000000000001</v>
      </c>
      <c r="K324" s="11">
        <v>71.580600000000004</v>
      </c>
      <c r="L324" s="7">
        <v>1</v>
      </c>
      <c r="M324" s="8">
        <v>247.7192</v>
      </c>
      <c r="N324" s="8">
        <v>12.699404080221056</v>
      </c>
      <c r="O324" s="8">
        <v>9.0323398090475238E-3</v>
      </c>
      <c r="P324" s="8">
        <v>1.4248513752351111E-2</v>
      </c>
      <c r="Q324" s="8">
        <v>1.2956880415360539</v>
      </c>
      <c r="R324" s="3">
        <v>1.1115668832920247E-2</v>
      </c>
      <c r="S324" s="33">
        <v>2.342678227586574E-2</v>
      </c>
      <c r="T324" s="5">
        <v>64.099999999999994</v>
      </c>
      <c r="U324" s="34">
        <v>0.10451268333333334</v>
      </c>
      <c r="V324">
        <v>1160.7674999999999</v>
      </c>
    </row>
    <row r="325" spans="1:22" ht="16" x14ac:dyDescent="0.2">
      <c r="A325" s="2" t="s">
        <v>31</v>
      </c>
      <c r="B325" s="5">
        <v>2017</v>
      </c>
      <c r="C325" s="8">
        <v>14.362697327988233</v>
      </c>
      <c r="D325" s="4">
        <v>0.32131668578179678</v>
      </c>
      <c r="E325" s="6">
        <v>1.0502330769899749E-2</v>
      </c>
      <c r="F325" s="11">
        <v>1.0455000000000001</v>
      </c>
      <c r="G325" s="8">
        <v>245088318</v>
      </c>
      <c r="H325" s="7">
        <v>3.6688930640225221</v>
      </c>
      <c r="I325" s="4">
        <v>137435.93146059001</v>
      </c>
      <c r="J325" s="11">
        <v>2.2315</v>
      </c>
      <c r="K325" s="11">
        <v>68.946200000000005</v>
      </c>
      <c r="L325" s="7">
        <v>1</v>
      </c>
      <c r="M325" s="8">
        <v>257.1798</v>
      </c>
      <c r="N325" s="8">
        <v>12.897736100663735</v>
      </c>
      <c r="O325" s="8">
        <v>8.315222975444762E-3</v>
      </c>
      <c r="P325" s="8">
        <v>1.4629069179640384E-2</v>
      </c>
      <c r="Q325" s="8">
        <v>1.0331994161730549</v>
      </c>
      <c r="R325" s="3">
        <v>1.1140945696934851E-2</v>
      </c>
      <c r="S325" s="33">
        <v>8.2520461084358843E-2</v>
      </c>
      <c r="T325" s="5">
        <v>55.3</v>
      </c>
      <c r="U325" s="34">
        <v>6.2295183333333337E-2</v>
      </c>
      <c r="V325">
        <v>1131.0008333333301</v>
      </c>
    </row>
    <row r="326" spans="1:22" ht="16" x14ac:dyDescent="0.2">
      <c r="A326" s="2" t="s">
        <v>31</v>
      </c>
      <c r="B326" s="5">
        <v>2018</v>
      </c>
      <c r="C326" s="8">
        <v>14.420689352579728</v>
      </c>
      <c r="D326" s="4">
        <v>0.80405391622226308</v>
      </c>
      <c r="E326" s="6">
        <v>7.4371239527993094E-3</v>
      </c>
      <c r="F326" s="11">
        <v>1.0323</v>
      </c>
      <c r="G326" s="8">
        <v>293456368</v>
      </c>
      <c r="H326" s="7">
        <v>19.734947138524976</v>
      </c>
      <c r="I326" s="4">
        <v>118417.78369508</v>
      </c>
      <c r="J326" s="11">
        <v>2.1953</v>
      </c>
      <c r="K326" s="11">
        <v>66.919200000000004</v>
      </c>
      <c r="L326" s="7">
        <v>1</v>
      </c>
      <c r="M326" s="8">
        <v>275.31209999999999</v>
      </c>
      <c r="N326" s="8">
        <v>12.930595746275316</v>
      </c>
      <c r="O326" s="8">
        <v>9.013419269424703E-3</v>
      </c>
      <c r="P326" s="8">
        <v>1.778491681150763E-2</v>
      </c>
      <c r="Q326" s="8">
        <v>1.109110259312563</v>
      </c>
      <c r="R326" s="3">
        <v>1.1408844589097697E-2</v>
      </c>
      <c r="S326" s="33">
        <v>6.2161478999902813E-2</v>
      </c>
      <c r="T326" s="5">
        <v>82.1</v>
      </c>
      <c r="U326" s="34">
        <v>0.11812107500000001</v>
      </c>
      <c r="V326">
        <v>1100.16333333333</v>
      </c>
    </row>
    <row r="327" spans="1:22" ht="16" x14ac:dyDescent="0.2">
      <c r="A327" s="2" t="s">
        <v>31</v>
      </c>
      <c r="B327" s="5">
        <v>2019</v>
      </c>
      <c r="C327" s="8">
        <v>13.621025888420805</v>
      </c>
      <c r="D327" s="4">
        <v>1.1736046222539105</v>
      </c>
      <c r="E327" s="6">
        <v>1.5625002741865045E-3</v>
      </c>
      <c r="F327" s="11">
        <v>1.0375000000000001</v>
      </c>
      <c r="G327" s="8">
        <v>321461303</v>
      </c>
      <c r="H327" s="7">
        <v>9.5431341943140247</v>
      </c>
      <c r="I327" s="4">
        <v>124118.2725606</v>
      </c>
      <c r="J327" s="11">
        <v>2.1901999999999999</v>
      </c>
      <c r="K327" s="11">
        <v>70.558899999999994</v>
      </c>
      <c r="L327" s="7">
        <v>1</v>
      </c>
      <c r="M327" s="8">
        <v>285.81670000000003</v>
      </c>
      <c r="N327" s="8">
        <v>13.077988777347301</v>
      </c>
      <c r="O327" s="8">
        <v>8.2374634983222485E-3</v>
      </c>
      <c r="P327" s="8">
        <v>1.5528832711663583E-2</v>
      </c>
      <c r="Q327" s="8">
        <v>1.1798868601719787</v>
      </c>
      <c r="R327" s="3">
        <v>1.1053174644720274E-2</v>
      </c>
      <c r="S327" s="33">
        <v>-4.2567684038611962E-2</v>
      </c>
      <c r="T327" s="5">
        <v>82.1</v>
      </c>
      <c r="U327" s="34">
        <v>0.10839685</v>
      </c>
      <c r="V327">
        <v>1165.3575000000001</v>
      </c>
    </row>
    <row r="328" spans="1:22" ht="16" x14ac:dyDescent="0.2">
      <c r="A328" s="2" t="s">
        <v>31</v>
      </c>
      <c r="B328" s="5">
        <v>2020</v>
      </c>
      <c r="C328" s="8">
        <v>12.128635901454363</v>
      </c>
      <c r="D328" s="4">
        <v>-0.72967870825351833</v>
      </c>
      <c r="E328" s="6">
        <v>3.7044469223512289E-2</v>
      </c>
      <c r="F328" s="11">
        <v>0.99880000000000002</v>
      </c>
      <c r="G328" s="8">
        <v>290049318</v>
      </c>
      <c r="H328" s="7">
        <v>-9.7716224960364819</v>
      </c>
      <c r="I328" s="4">
        <v>127683.93982628999</v>
      </c>
      <c r="J328" s="11">
        <v>1.9802</v>
      </c>
      <c r="K328" s="11">
        <v>69.656199999999998</v>
      </c>
      <c r="L328" s="7">
        <v>1</v>
      </c>
      <c r="M328" s="8">
        <v>270.32810000000001</v>
      </c>
      <c r="N328" s="8">
        <v>13.228294438530131</v>
      </c>
      <c r="O328" s="8">
        <v>8.5196637912497413E-3</v>
      </c>
      <c r="P328" s="8">
        <v>1.4851537184295155E-2</v>
      </c>
      <c r="Q328" s="8">
        <v>0.98806134297204695</v>
      </c>
      <c r="R328" s="3">
        <v>1.1006866838636444E-2</v>
      </c>
      <c r="S328" s="33">
        <v>-4.305467025402558E-3</v>
      </c>
      <c r="T328" s="5">
        <v>56.9</v>
      </c>
      <c r="U328" s="34">
        <v>0.13288566666666665</v>
      </c>
      <c r="V328">
        <v>1180.26583333333</v>
      </c>
    </row>
    <row r="329" spans="1:22" ht="16" x14ac:dyDescent="0.2">
      <c r="A329" s="2" t="s">
        <v>31</v>
      </c>
      <c r="B329" s="5">
        <v>2021</v>
      </c>
      <c r="C329" s="8">
        <v>13.061030138901449</v>
      </c>
      <c r="D329" s="4">
        <v>-0.57528652258726276</v>
      </c>
      <c r="E329" s="6">
        <v>2.220523129177801E-2</v>
      </c>
      <c r="F329" s="11">
        <v>1.0306999999999999</v>
      </c>
      <c r="G329" s="8">
        <v>324383695</v>
      </c>
      <c r="H329" s="7">
        <v>11.837427247458654</v>
      </c>
      <c r="I329" s="4">
        <v>114598.62663848001</v>
      </c>
      <c r="J329" s="11">
        <v>1.9925999999999999</v>
      </c>
      <c r="K329" s="11">
        <v>68.280600000000007</v>
      </c>
      <c r="L329" s="7">
        <v>1</v>
      </c>
      <c r="M329" s="8">
        <v>264.62979999999999</v>
      </c>
      <c r="N329" s="8">
        <v>13.207935897352133</v>
      </c>
      <c r="O329" s="8">
        <v>8.072989663786263E-3</v>
      </c>
      <c r="P329" s="8">
        <v>3.7193876153701434E-2</v>
      </c>
      <c r="Q329" s="8">
        <v>0.66481203576272585</v>
      </c>
      <c r="R329" s="3">
        <v>1.0751103138963554E-2</v>
      </c>
      <c r="S329" s="33">
        <v>0.10134512568818534</v>
      </c>
      <c r="T329" s="5">
        <v>56.4</v>
      </c>
      <c r="U329" s="34">
        <v>0.10445814166666667</v>
      </c>
      <c r="V329">
        <v>1143.95166666667</v>
      </c>
    </row>
    <row r="330" spans="1:22" ht="16" x14ac:dyDescent="0.2">
      <c r="A330" s="2" t="s">
        <v>31</v>
      </c>
      <c r="B330" s="5">
        <v>2022</v>
      </c>
      <c r="C330" s="8">
        <v>14.136867141991015</v>
      </c>
      <c r="D330" s="4">
        <v>0.62849007255028966</v>
      </c>
      <c r="E330" s="6">
        <v>1.1503250682298636E-2</v>
      </c>
      <c r="F330" s="11">
        <v>1.03</v>
      </c>
      <c r="G330" s="8">
        <v>344412052</v>
      </c>
      <c r="H330" s="7">
        <v>6.174279813909882</v>
      </c>
      <c r="I330" s="4">
        <v>143331.24171024002</v>
      </c>
      <c r="J330" s="11">
        <v>2.1665999999999999</v>
      </c>
      <c r="K330" s="11">
        <v>68.943899999999999</v>
      </c>
      <c r="L330" s="7">
        <v>1</v>
      </c>
      <c r="M330" s="8">
        <v>261.72710000000001</v>
      </c>
      <c r="N330" s="8">
        <v>13.195669946491808</v>
      </c>
      <c r="O330" s="8">
        <v>8.7773288377839091E-3</v>
      </c>
      <c r="P330" s="8">
        <v>3.5349903813926532E-2</v>
      </c>
      <c r="Q330" s="8">
        <v>1.2919934598080767</v>
      </c>
      <c r="R330" s="3">
        <v>1.0859808534779497E-2</v>
      </c>
      <c r="S330" s="33">
        <v>-8.0460454663042441E-2</v>
      </c>
      <c r="T330" s="5">
        <v>56.3</v>
      </c>
      <c r="U330" s="34">
        <v>0.180137675</v>
      </c>
      <c r="V330">
        <v>1291.4466666666699</v>
      </c>
    </row>
    <row r="331" spans="1:22" x14ac:dyDescent="0.2">
      <c r="U331" s="34"/>
    </row>
    <row r="332" spans="1:22" ht="16" x14ac:dyDescent="0.2">
      <c r="A332" s="2" t="s">
        <v>32</v>
      </c>
      <c r="B332" s="5">
        <v>2014</v>
      </c>
      <c r="C332" s="8">
        <v>2.2696035525521685</v>
      </c>
      <c r="D332" s="4">
        <v>5.6036256350219498</v>
      </c>
      <c r="E332" s="6">
        <v>-4.0341412699977992E-2</v>
      </c>
      <c r="F332" s="11">
        <v>1.0358000000000001</v>
      </c>
      <c r="G332" s="8">
        <v>382116161</v>
      </c>
      <c r="H332" s="7">
        <v>28.877986929633376</v>
      </c>
      <c r="I332" s="4">
        <v>285324.20303183998</v>
      </c>
      <c r="J332" s="11">
        <v>1.7746</v>
      </c>
      <c r="K332" s="11">
        <v>68.915599999999998</v>
      </c>
      <c r="L332" s="7">
        <v>1</v>
      </c>
      <c r="M332" s="8">
        <v>242.51480000000001</v>
      </c>
      <c r="N332" s="8">
        <v>12.573049172091295</v>
      </c>
      <c r="O332" s="8">
        <v>9.8250697986014407E-3</v>
      </c>
      <c r="P332" s="8">
        <v>3.0627873789312539E-2</v>
      </c>
      <c r="Q332" s="8">
        <v>4.4719956390868765</v>
      </c>
      <c r="R332" s="3">
        <v>1.0702798309359354E-2</v>
      </c>
      <c r="S332" s="33">
        <v>8.2815448769750916E-2</v>
      </c>
      <c r="T332" s="5">
        <v>49.8</v>
      </c>
      <c r="U332" s="34">
        <v>0.29875190000000001</v>
      </c>
      <c r="V332">
        <v>1052.8399999999999</v>
      </c>
    </row>
    <row r="333" spans="1:22" ht="16" x14ac:dyDescent="0.2">
      <c r="A333" s="2" t="s">
        <v>32</v>
      </c>
      <c r="B333" s="5">
        <v>2015</v>
      </c>
      <c r="C333" s="8">
        <v>2.1308643176725095</v>
      </c>
      <c r="D333" s="4">
        <v>-0.38778134387544244</v>
      </c>
      <c r="E333" s="6">
        <v>2.2382432628685934E-2</v>
      </c>
      <c r="F333" s="11">
        <v>1.0258</v>
      </c>
      <c r="G333" s="8">
        <v>365572561</v>
      </c>
      <c r="H333" s="7">
        <v>-4.329468807784866</v>
      </c>
      <c r="I333" s="4">
        <v>243237.71188950998</v>
      </c>
      <c r="J333" s="11">
        <v>1.6433</v>
      </c>
      <c r="K333" s="11">
        <v>74.485500000000002</v>
      </c>
      <c r="L333" s="7">
        <v>1</v>
      </c>
      <c r="M333" s="8">
        <v>228.2919</v>
      </c>
      <c r="N333" s="8">
        <v>12.535440167257837</v>
      </c>
      <c r="O333" s="8">
        <v>9.98315315968854E-3</v>
      </c>
      <c r="P333" s="8">
        <v>2.5186166346570994E-2</v>
      </c>
      <c r="Q333" s="8">
        <v>4.4498320244579457</v>
      </c>
      <c r="R333" s="3">
        <v>1.0810333752055196E-2</v>
      </c>
      <c r="S333" s="33">
        <v>-1.2493934145101969E-2</v>
      </c>
      <c r="T333" s="5">
        <v>50.1</v>
      </c>
      <c r="U333" s="34">
        <v>0.11522837500000001</v>
      </c>
      <c r="V333">
        <v>1130.9525000000001</v>
      </c>
    </row>
    <row r="334" spans="1:22" ht="16" x14ac:dyDescent="0.2">
      <c r="A334" s="2" t="s">
        <v>32</v>
      </c>
      <c r="B334" s="5">
        <v>2016</v>
      </c>
      <c r="C334" s="8">
        <v>2.7813915348982725</v>
      </c>
      <c r="D334" s="4">
        <v>10.775441727838469</v>
      </c>
      <c r="E334" s="6">
        <v>-8.4425354357168289E-2</v>
      </c>
      <c r="F334" s="11">
        <v>1.0331999999999999</v>
      </c>
      <c r="G334" s="8">
        <v>381043121</v>
      </c>
      <c r="H334" s="7">
        <v>4.2318712207725016</v>
      </c>
      <c r="I334" s="4">
        <v>177721.86932428001</v>
      </c>
      <c r="J334" s="11">
        <v>1.6236999999999999</v>
      </c>
      <c r="K334" s="11">
        <v>70.359399999999994</v>
      </c>
      <c r="L334" s="7">
        <v>1</v>
      </c>
      <c r="M334" s="8">
        <v>223.8263</v>
      </c>
      <c r="N334" s="8">
        <v>12.571509838892158</v>
      </c>
      <c r="O334" s="8">
        <v>7.8985477417139374E-3</v>
      </c>
      <c r="P334" s="8">
        <v>2.5644559289663298E-2</v>
      </c>
      <c r="Q334" s="8">
        <v>2.3160871284830482</v>
      </c>
      <c r="R334" s="3">
        <v>1.0360322973420193E-2</v>
      </c>
      <c r="S334" s="33">
        <v>2.342678227586574E-2</v>
      </c>
      <c r="T334" s="5">
        <v>64.099999999999994</v>
      </c>
      <c r="U334" s="34">
        <v>0.10451268333333334</v>
      </c>
      <c r="V334">
        <v>1160.7674999999999</v>
      </c>
    </row>
    <row r="335" spans="1:22" ht="16" x14ac:dyDescent="0.2">
      <c r="A335" s="2" t="s">
        <v>32</v>
      </c>
      <c r="B335" s="5">
        <v>2017</v>
      </c>
      <c r="C335" s="8">
        <v>3.8832145928853619</v>
      </c>
      <c r="D335" s="4">
        <v>1.390287985717207</v>
      </c>
      <c r="E335" s="6">
        <v>5.9577189590153097E-3</v>
      </c>
      <c r="F335" s="11">
        <v>1.0455000000000001</v>
      </c>
      <c r="G335" s="8">
        <v>409180470</v>
      </c>
      <c r="H335" s="7">
        <v>7.3842952278359064</v>
      </c>
      <c r="I335" s="4">
        <v>177455.377851</v>
      </c>
      <c r="J335" s="11">
        <v>1.6817</v>
      </c>
      <c r="K335" s="11">
        <v>61.188299999999998</v>
      </c>
      <c r="L335" s="7">
        <v>1</v>
      </c>
      <c r="M335" s="8">
        <v>224.2336</v>
      </c>
      <c r="N335" s="8">
        <v>12.72892853014894</v>
      </c>
      <c r="O335" s="8">
        <v>7.1182655245564707E-3</v>
      </c>
      <c r="P335" s="8">
        <v>2.3248484649020587E-2</v>
      </c>
      <c r="Q335" s="8">
        <v>1.3905790125737068</v>
      </c>
      <c r="R335" s="3">
        <v>1.0365689485998522E-2</v>
      </c>
      <c r="S335" s="33">
        <v>8.2520461084358843E-2</v>
      </c>
      <c r="T335" s="5">
        <v>55.3</v>
      </c>
      <c r="U335" s="34">
        <v>6.2295183333333337E-2</v>
      </c>
      <c r="V335">
        <v>1131.0008333333301</v>
      </c>
    </row>
    <row r="336" spans="1:22" ht="16" x14ac:dyDescent="0.2">
      <c r="A336" s="2" t="s">
        <v>32</v>
      </c>
      <c r="B336" s="5">
        <v>2018</v>
      </c>
      <c r="C336" s="8">
        <v>4.0385108255366999</v>
      </c>
      <c r="D336" s="4">
        <v>1.9002464592634547</v>
      </c>
      <c r="E336" s="6">
        <v>1.1735334794655272E-3</v>
      </c>
      <c r="F336" s="11">
        <v>1.0323</v>
      </c>
      <c r="G336" s="8">
        <v>473692096</v>
      </c>
      <c r="H336" s="7">
        <v>15.766056967479411</v>
      </c>
      <c r="I336" s="4">
        <v>138719.41727127999</v>
      </c>
      <c r="J336" s="11">
        <v>1.7131000000000001</v>
      </c>
      <c r="K336" s="11">
        <v>60.684800000000003</v>
      </c>
      <c r="L336" s="7">
        <v>1</v>
      </c>
      <c r="M336" s="8">
        <v>222.9965</v>
      </c>
      <c r="N336" s="8">
        <v>12.753503814145001</v>
      </c>
      <c r="O336" s="8">
        <v>6.7915437002517296E-3</v>
      </c>
      <c r="P336" s="8">
        <v>1.3643863766481083E-2</v>
      </c>
      <c r="Q336" s="8">
        <v>1.4922114438538723</v>
      </c>
      <c r="R336" s="3">
        <v>1.0233737624817595E-2</v>
      </c>
      <c r="S336" s="33">
        <v>6.2161478999902813E-2</v>
      </c>
      <c r="T336" s="5">
        <v>82.1</v>
      </c>
      <c r="U336" s="34">
        <v>0.11812107500000001</v>
      </c>
      <c r="V336">
        <v>1100.16333333333</v>
      </c>
    </row>
    <row r="337" spans="1:22" ht="16" x14ac:dyDescent="0.2">
      <c r="A337" s="2" t="s">
        <v>32</v>
      </c>
      <c r="B337" s="5">
        <v>2019</v>
      </c>
      <c r="C337" s="8">
        <v>3.990010605753878</v>
      </c>
      <c r="D337" s="4">
        <v>1.1625889339031883</v>
      </c>
      <c r="E337" s="6">
        <v>3.7097314627702895E-3</v>
      </c>
      <c r="F337" s="11">
        <v>1.0375000000000001</v>
      </c>
      <c r="G337" s="8">
        <v>529041774</v>
      </c>
      <c r="H337" s="7">
        <v>11.684737505098671</v>
      </c>
      <c r="I337" s="4">
        <v>118024.78672908001</v>
      </c>
      <c r="J337" s="11">
        <v>1.6257999999999999</v>
      </c>
      <c r="K337" s="11">
        <v>61.556699999999999</v>
      </c>
      <c r="L337" s="7">
        <v>1</v>
      </c>
      <c r="M337" s="8">
        <v>223.84739999999999</v>
      </c>
      <c r="N337" s="8">
        <v>12.807515270254147</v>
      </c>
      <c r="O337" s="8">
        <v>5.9157143808035119E-3</v>
      </c>
      <c r="P337" s="8">
        <v>1.5442266931436277E-2</v>
      </c>
      <c r="Q337" s="8">
        <v>1.6459616414309171</v>
      </c>
      <c r="R337" s="3">
        <v>9.9737369442252921E-3</v>
      </c>
      <c r="S337" s="33">
        <v>-4.2567684038611962E-2</v>
      </c>
      <c r="T337" s="5">
        <v>82.1</v>
      </c>
      <c r="U337" s="34">
        <v>0.10839685</v>
      </c>
      <c r="V337">
        <v>1165.3575000000001</v>
      </c>
    </row>
    <row r="338" spans="1:22" ht="16" x14ac:dyDescent="0.2">
      <c r="A338" s="2" t="s">
        <v>32</v>
      </c>
      <c r="B338" s="5">
        <v>2020</v>
      </c>
      <c r="C338" s="8">
        <v>4.0194580311483152</v>
      </c>
      <c r="D338" s="4">
        <v>6.788267053103364E-2</v>
      </c>
      <c r="E338" s="6">
        <v>3.2815999265516628E-2</v>
      </c>
      <c r="F338" s="11">
        <v>0.99880000000000002</v>
      </c>
      <c r="G338" s="8">
        <v>499811760</v>
      </c>
      <c r="H338" s="7">
        <v>-5.5250861910197662</v>
      </c>
      <c r="I338" s="4">
        <v>115923.86794817999</v>
      </c>
      <c r="J338" s="11">
        <v>1.4942</v>
      </c>
      <c r="K338" s="11">
        <v>55.911700000000003</v>
      </c>
      <c r="L338" s="7">
        <v>1</v>
      </c>
      <c r="M338" s="8">
        <v>238.67449999999999</v>
      </c>
      <c r="N338" s="8">
        <v>12.954586455684666</v>
      </c>
      <c r="O338" s="8">
        <v>5.9373426640194314E-3</v>
      </c>
      <c r="P338" s="8">
        <v>1.6028900450623378E-2</v>
      </c>
      <c r="Q338" s="8">
        <v>1.1032931346545809</v>
      </c>
      <c r="R338" s="3">
        <v>1.0090798729993463E-2</v>
      </c>
      <c r="S338" s="33">
        <v>-4.305467025402558E-3</v>
      </c>
      <c r="T338" s="5">
        <v>56.9</v>
      </c>
      <c r="U338" s="34">
        <v>0.13288566666666665</v>
      </c>
      <c r="V338">
        <v>1180.26583333333</v>
      </c>
    </row>
    <row r="339" spans="1:22" ht="16" x14ac:dyDescent="0.2">
      <c r="A339" s="2" t="s">
        <v>32</v>
      </c>
      <c r="B339" s="5">
        <v>2021</v>
      </c>
      <c r="C339" s="8">
        <v>4.8417588094571986</v>
      </c>
      <c r="D339" s="4">
        <v>-0.25076178525382564</v>
      </c>
      <c r="E339" s="6">
        <v>2.2593716114981347E-2</v>
      </c>
      <c r="F339" s="11">
        <v>1.0306999999999999</v>
      </c>
      <c r="G339" s="8">
        <v>525859753</v>
      </c>
      <c r="H339" s="7">
        <v>5.2115606483528918</v>
      </c>
      <c r="I339" s="4">
        <v>93523.161798150002</v>
      </c>
      <c r="J339" s="11">
        <v>1.7536</v>
      </c>
      <c r="K339" s="11">
        <v>55.767699999999998</v>
      </c>
      <c r="L339" s="7">
        <v>1</v>
      </c>
      <c r="M339" s="8">
        <v>241.1893</v>
      </c>
      <c r="N339" s="8">
        <v>12.95329709386256</v>
      </c>
      <c r="O339" s="8">
        <v>5.8439535619486897E-3</v>
      </c>
      <c r="P339" s="8">
        <v>5.361931360790119E-2</v>
      </c>
      <c r="Q339" s="8">
        <v>0.73458977705998785</v>
      </c>
      <c r="R339" s="3">
        <v>1.00749772768293E-2</v>
      </c>
      <c r="S339" s="33">
        <v>0.10134512568818534</v>
      </c>
      <c r="T339" s="5">
        <v>56.4</v>
      </c>
      <c r="U339" s="34">
        <v>0.10445814166666667</v>
      </c>
      <c r="V339">
        <v>1143.95166666667</v>
      </c>
    </row>
    <row r="340" spans="1:22" ht="16" x14ac:dyDescent="0.2">
      <c r="A340" s="2" t="s">
        <v>32</v>
      </c>
      <c r="B340" s="5">
        <v>2022</v>
      </c>
      <c r="C340" s="8">
        <v>4.3945937496866403</v>
      </c>
      <c r="D340" s="4">
        <v>0.73089717489328587</v>
      </c>
      <c r="E340" s="6">
        <v>1.5204249004354842E-2</v>
      </c>
      <c r="F340" s="11">
        <v>1.03</v>
      </c>
      <c r="G340" s="8">
        <v>683918114</v>
      </c>
      <c r="H340" s="7">
        <v>30.057132172273317</v>
      </c>
      <c r="I340" s="4">
        <v>100305.21213225</v>
      </c>
      <c r="J340" s="11">
        <v>1.9158999999999999</v>
      </c>
      <c r="K340" s="11">
        <v>56.682600000000001</v>
      </c>
      <c r="L340" s="7">
        <v>1</v>
      </c>
      <c r="M340" s="8">
        <v>253.39109999999999</v>
      </c>
      <c r="N340" s="8">
        <v>13.023305627523039</v>
      </c>
      <c r="O340" s="8">
        <v>6.8824839464435416E-3</v>
      </c>
      <c r="P340" s="8">
        <v>6.956683989055526E-2</v>
      </c>
      <c r="Q340" s="8">
        <v>1.4810117205154809</v>
      </c>
      <c r="R340" s="3">
        <v>9.6972269029068064E-3</v>
      </c>
      <c r="S340" s="33">
        <v>-8.0460454663042441E-2</v>
      </c>
      <c r="T340" s="5">
        <v>56.3</v>
      </c>
      <c r="U340" s="34">
        <v>0.180137675</v>
      </c>
      <c r="V340">
        <v>1291.4466666666699</v>
      </c>
    </row>
    <row r="341" spans="1:22" x14ac:dyDescent="0.2">
      <c r="A341" s="2"/>
      <c r="U341" s="34"/>
    </row>
    <row r="342" spans="1:22" ht="16" x14ac:dyDescent="0.2">
      <c r="A342" s="2" t="s">
        <v>33</v>
      </c>
      <c r="B342" s="5">
        <v>2014</v>
      </c>
      <c r="C342" s="8">
        <v>5.239602010521681</v>
      </c>
      <c r="D342" s="4">
        <v>2.957897889831659</v>
      </c>
      <c r="E342" s="6">
        <v>-1.276927880028721E-2</v>
      </c>
      <c r="F342" s="11">
        <v>0.95669999999999999</v>
      </c>
      <c r="G342" s="8">
        <v>158704952</v>
      </c>
      <c r="H342" s="7">
        <v>-20.334652688195405</v>
      </c>
      <c r="I342" s="4">
        <v>286437.09258250002</v>
      </c>
      <c r="J342" s="11">
        <v>2.3649</v>
      </c>
      <c r="K342" s="11">
        <v>55.409399999999998</v>
      </c>
      <c r="L342" s="7">
        <v>1</v>
      </c>
      <c r="M342" s="8">
        <v>166.83860000000001</v>
      </c>
      <c r="N342" s="8">
        <v>12.549991595358412</v>
      </c>
      <c r="O342" s="8">
        <v>1.04963636993972E-2</v>
      </c>
      <c r="P342" s="8">
        <v>2.274536444143696E-2</v>
      </c>
      <c r="Q342" s="8">
        <v>1.6907319091502502</v>
      </c>
      <c r="R342" s="3">
        <v>1.1042817001026085E-2</v>
      </c>
      <c r="S342" s="33">
        <v>8.2815448769750916E-2</v>
      </c>
      <c r="T342" s="5">
        <v>49.8</v>
      </c>
      <c r="U342" s="34">
        <v>0.29875190000000001</v>
      </c>
      <c r="V342">
        <v>1052.8399999999999</v>
      </c>
    </row>
    <row r="343" spans="1:22" ht="16" x14ac:dyDescent="0.2">
      <c r="A343" s="2" t="s">
        <v>33</v>
      </c>
      <c r="B343" s="5">
        <v>2015</v>
      </c>
      <c r="C343" s="8">
        <v>5.8493763084388108</v>
      </c>
      <c r="D343" s="4">
        <v>0.83599734967775174</v>
      </c>
      <c r="E343" s="6">
        <v>9.3290255781677354E-3</v>
      </c>
      <c r="F343" s="11">
        <v>0.95179999999999998</v>
      </c>
      <c r="G343" s="8">
        <v>167459287</v>
      </c>
      <c r="H343" s="7">
        <v>5.516107021033597</v>
      </c>
      <c r="I343" s="4">
        <v>245343.18836632001</v>
      </c>
      <c r="J343" s="11">
        <v>2.1667000000000001</v>
      </c>
      <c r="K343" s="11">
        <v>71.564099999999996</v>
      </c>
      <c r="L343" s="7">
        <v>1</v>
      </c>
      <c r="M343" s="8">
        <v>171.01599999999999</v>
      </c>
      <c r="N343" s="8">
        <v>12.542003698595122</v>
      </c>
      <c r="O343" s="8">
        <v>1.0437206408505782E-2</v>
      </c>
      <c r="P343" s="8">
        <v>2.266258784905242E-2</v>
      </c>
      <c r="Q343" s="8">
        <v>2.2912229144190386</v>
      </c>
      <c r="R343" s="3">
        <v>1.1030955354509096E-2</v>
      </c>
      <c r="S343" s="33">
        <v>-1.2493934145101969E-2</v>
      </c>
      <c r="T343" s="5">
        <v>50.1</v>
      </c>
      <c r="U343" s="34">
        <v>0.11522837500000001</v>
      </c>
      <c r="V343">
        <v>1130.9525000000001</v>
      </c>
    </row>
    <row r="344" spans="1:22" ht="16" x14ac:dyDescent="0.2">
      <c r="A344" s="2" t="s">
        <v>33</v>
      </c>
      <c r="B344" s="5">
        <v>2016</v>
      </c>
      <c r="C344" s="8">
        <v>6.5173169761418155</v>
      </c>
      <c r="D344" s="4">
        <v>7.2354577579407779</v>
      </c>
      <c r="E344" s="6">
        <v>-5.4406133725688498E-2</v>
      </c>
      <c r="F344" s="11">
        <v>0.96289999999999998</v>
      </c>
      <c r="G344" s="8">
        <v>269267852</v>
      </c>
      <c r="H344" s="7">
        <v>60.796010077362858</v>
      </c>
      <c r="I344" s="4">
        <v>187496.29321087</v>
      </c>
      <c r="J344" s="11">
        <v>2.0299</v>
      </c>
      <c r="K344" s="11">
        <v>77.872</v>
      </c>
      <c r="L344" s="7">
        <v>1</v>
      </c>
      <c r="M344" s="8">
        <v>199.56569999999999</v>
      </c>
      <c r="N344" s="8">
        <v>12.647518288141933</v>
      </c>
      <c r="O344" s="8">
        <v>8.5149737708647231E-3</v>
      </c>
      <c r="P344" s="8">
        <v>1.9756083485655263E-2</v>
      </c>
      <c r="Q344" s="8">
        <v>2.1582977134958359</v>
      </c>
      <c r="R344" s="3">
        <v>1.1158400281260054E-2</v>
      </c>
      <c r="S344" s="33">
        <v>2.342678227586574E-2</v>
      </c>
      <c r="T344" s="5">
        <v>64.099999999999994</v>
      </c>
      <c r="U344" s="34">
        <v>0.10451268333333334</v>
      </c>
      <c r="V344">
        <v>1160.7674999999999</v>
      </c>
    </row>
    <row r="345" spans="1:22" ht="16" x14ac:dyDescent="0.2">
      <c r="A345" s="2" t="s">
        <v>33</v>
      </c>
      <c r="B345" s="5">
        <v>2017</v>
      </c>
      <c r="C345" s="8">
        <v>8.4164007484433494</v>
      </c>
      <c r="D345" s="4">
        <v>1.1295740047756906</v>
      </c>
      <c r="E345" s="6">
        <v>4.8587700791202426E-3</v>
      </c>
      <c r="F345" s="11">
        <v>0.98</v>
      </c>
      <c r="G345" s="8">
        <v>335849138</v>
      </c>
      <c r="H345" s="7">
        <v>24.726786174236647</v>
      </c>
      <c r="I345" s="4">
        <v>187670.28649726001</v>
      </c>
      <c r="J345" s="11">
        <v>2.1640999999999999</v>
      </c>
      <c r="K345" s="11">
        <v>77.195899999999995</v>
      </c>
      <c r="L345" s="7">
        <v>1</v>
      </c>
      <c r="M345" s="8">
        <v>222.52549999999999</v>
      </c>
      <c r="N345" s="8">
        <v>12.922018815443755</v>
      </c>
      <c r="O345" s="8">
        <v>7.2293470597549212E-3</v>
      </c>
      <c r="P345" s="8">
        <v>1.924207573879505E-2</v>
      </c>
      <c r="Q345" s="8">
        <v>0.91461826683351255</v>
      </c>
      <c r="R345" s="3">
        <v>1.1411175595587983E-2</v>
      </c>
      <c r="S345" s="33">
        <v>8.2520461084358843E-2</v>
      </c>
      <c r="T345" s="5">
        <v>55.3</v>
      </c>
      <c r="U345" s="34">
        <v>6.2295183333333337E-2</v>
      </c>
      <c r="V345">
        <v>1131.0008333333301</v>
      </c>
    </row>
    <row r="346" spans="1:22" ht="16" x14ac:dyDescent="0.2">
      <c r="A346" s="2" t="s">
        <v>33</v>
      </c>
      <c r="B346" s="5">
        <v>2018</v>
      </c>
      <c r="C346" s="8">
        <v>6.9974527495636254</v>
      </c>
      <c r="D346" s="4">
        <v>1.6721741272144357</v>
      </c>
      <c r="E346" s="6">
        <v>1.5320256735072001E-3</v>
      </c>
      <c r="F346" s="11">
        <v>0.96389999999999998</v>
      </c>
      <c r="G346" s="8">
        <v>388235197</v>
      </c>
      <c r="H346" s="7">
        <v>15.598092438754453</v>
      </c>
      <c r="I346" s="4">
        <v>171547.64582074</v>
      </c>
      <c r="J346" s="11">
        <v>2.1648000000000001</v>
      </c>
      <c r="K346" s="11">
        <v>79.426100000000005</v>
      </c>
      <c r="L346" s="7">
        <v>1</v>
      </c>
      <c r="M346" s="8">
        <v>249.5094</v>
      </c>
      <c r="N346" s="8">
        <v>12.973166113995076</v>
      </c>
      <c r="O346" s="8">
        <v>8.1093522262231724E-3</v>
      </c>
      <c r="P346" s="8">
        <v>1.3841260309500785E-2</v>
      </c>
      <c r="Q346" s="8">
        <v>1.1317311085545656</v>
      </c>
      <c r="R346" s="3">
        <v>1.1627373305712453E-2</v>
      </c>
      <c r="S346" s="33">
        <v>6.2161478999902813E-2</v>
      </c>
      <c r="T346" s="5">
        <v>82.1</v>
      </c>
      <c r="U346" s="34">
        <v>0.11812107500000001</v>
      </c>
      <c r="V346">
        <v>1100.16333333333</v>
      </c>
    </row>
    <row r="347" spans="1:22" ht="16" x14ac:dyDescent="0.2">
      <c r="A347" s="2" t="s">
        <v>33</v>
      </c>
      <c r="B347" s="5">
        <v>2019</v>
      </c>
      <c r="C347" s="8">
        <v>6.9642406651334738</v>
      </c>
      <c r="D347" s="4">
        <v>1.1675172209350315</v>
      </c>
      <c r="E347" s="6">
        <v>3.4612529685224881E-3</v>
      </c>
      <c r="F347" s="11">
        <v>0.96150000000000002</v>
      </c>
      <c r="G347" s="8">
        <v>463624997</v>
      </c>
      <c r="H347" s="7">
        <v>19.418589706074485</v>
      </c>
      <c r="I347" s="4">
        <v>142994.52822199999</v>
      </c>
      <c r="J347" s="11">
        <v>2.0405000000000002</v>
      </c>
      <c r="K347" s="11">
        <v>79.657499999999999</v>
      </c>
      <c r="L347" s="7">
        <v>1</v>
      </c>
      <c r="M347" s="8">
        <v>235.0813</v>
      </c>
      <c r="N347" s="8">
        <v>13.014694448298053</v>
      </c>
      <c r="O347" s="8">
        <v>7.0390873860484782E-3</v>
      </c>
      <c r="P347" s="8">
        <v>1.1808572289848079E-2</v>
      </c>
      <c r="Q347" s="8">
        <v>1.2119406374546642</v>
      </c>
      <c r="R347" s="3">
        <v>1.1194381229101512E-2</v>
      </c>
      <c r="S347" s="33">
        <v>-4.2567684038611962E-2</v>
      </c>
      <c r="T347" s="5">
        <v>82.1</v>
      </c>
      <c r="U347" s="34">
        <v>0.10839685</v>
      </c>
      <c r="V347">
        <v>1165.3575000000001</v>
      </c>
    </row>
    <row r="348" spans="1:22" ht="16" x14ac:dyDescent="0.2">
      <c r="A348" s="2" t="s">
        <v>33</v>
      </c>
      <c r="B348" s="5">
        <v>2020</v>
      </c>
      <c r="C348" s="8">
        <v>6.4584519511769543</v>
      </c>
      <c r="D348" s="4">
        <v>-2.4082070160882228E-2</v>
      </c>
      <c r="E348" s="6">
        <v>3.2590180778189766E-2</v>
      </c>
      <c r="F348" s="11">
        <v>0.95799999999999996</v>
      </c>
      <c r="G348" s="8">
        <v>487500443</v>
      </c>
      <c r="H348" s="7">
        <v>5.1497322522495486</v>
      </c>
      <c r="I348" s="4">
        <v>136918.38569393998</v>
      </c>
      <c r="J348" s="11">
        <v>1.923</v>
      </c>
      <c r="K348" s="11">
        <v>80.1999</v>
      </c>
      <c r="L348" s="7">
        <v>1</v>
      </c>
      <c r="M348" s="8">
        <v>265.36099999999999</v>
      </c>
      <c r="N348" s="8">
        <v>13.237317604017173</v>
      </c>
      <c r="O348" s="8">
        <v>8.6302009863726253E-3</v>
      </c>
      <c r="P348" s="8">
        <v>1.4261808311288491E-2</v>
      </c>
      <c r="Q348" s="8">
        <v>0.99666777099431669</v>
      </c>
      <c r="R348" s="3">
        <v>1.1236642839642992E-2</v>
      </c>
      <c r="S348" s="33">
        <v>-4.305467025402558E-3</v>
      </c>
      <c r="T348" s="5">
        <v>56.9</v>
      </c>
      <c r="U348" s="34">
        <v>0.13288566666666665</v>
      </c>
      <c r="V348">
        <v>1180.26583333333</v>
      </c>
    </row>
    <row r="349" spans="1:22" ht="16" x14ac:dyDescent="0.2">
      <c r="A349" s="2" t="s">
        <v>33</v>
      </c>
      <c r="B349" s="5">
        <v>2021</v>
      </c>
      <c r="C349" s="8">
        <v>7.2054938187410507</v>
      </c>
      <c r="D349" s="4">
        <v>-0.408405671207136</v>
      </c>
      <c r="E349" s="6">
        <v>2.3244036263524E-2</v>
      </c>
      <c r="F349" s="11">
        <v>0.96079999999999999</v>
      </c>
      <c r="G349" s="8">
        <v>567627749</v>
      </c>
      <c r="H349" s="7">
        <v>16.436355525527183</v>
      </c>
      <c r="I349" s="4">
        <v>110854.79896877</v>
      </c>
      <c r="J349" s="11">
        <v>1.9737</v>
      </c>
      <c r="K349" s="11">
        <v>77.981999999999999</v>
      </c>
      <c r="L349" s="7">
        <v>1</v>
      </c>
      <c r="M349" s="8">
        <v>264.75580000000002</v>
      </c>
      <c r="N349" s="8">
        <v>13.231935635987934</v>
      </c>
      <c r="O349" s="8">
        <v>8.7385958420673465E-3</v>
      </c>
      <c r="P349" s="8">
        <v>3.8074209251676615E-2</v>
      </c>
      <c r="Q349" s="8">
        <v>0.65289735496915724</v>
      </c>
      <c r="R349" s="3">
        <v>1.133218126688805E-2</v>
      </c>
      <c r="S349" s="33">
        <v>0.10134512568818534</v>
      </c>
      <c r="T349" s="5">
        <v>56.4</v>
      </c>
      <c r="U349" s="34">
        <v>0.10445814166666667</v>
      </c>
      <c r="V349">
        <v>1143.95166666667</v>
      </c>
    </row>
    <row r="350" spans="1:22" ht="16" x14ac:dyDescent="0.2">
      <c r="A350" s="2" t="s">
        <v>33</v>
      </c>
      <c r="B350" s="5">
        <v>2022</v>
      </c>
      <c r="C350" s="8">
        <v>6.7348620764030018</v>
      </c>
      <c r="D350" s="4">
        <v>1.3756012848210664</v>
      </c>
      <c r="E350" s="6">
        <v>7.8180709429398303E-3</v>
      </c>
      <c r="F350" s="11">
        <v>0.95799999999999996</v>
      </c>
      <c r="G350" s="8">
        <v>634919838</v>
      </c>
      <c r="H350" s="7">
        <v>11.854968175630892</v>
      </c>
      <c r="I350" s="4">
        <v>116097.12978240001</v>
      </c>
      <c r="J350" s="11">
        <v>2.1431</v>
      </c>
      <c r="K350" s="11">
        <v>78.299199999999999</v>
      </c>
      <c r="L350" s="7">
        <v>1</v>
      </c>
      <c r="M350" s="8">
        <v>288.4631</v>
      </c>
      <c r="N350" s="8">
        <v>13.232399644718058</v>
      </c>
      <c r="O350" s="8">
        <v>9.4366407694481749E-3</v>
      </c>
      <c r="P350" s="8">
        <v>3.7143202302574008E-2</v>
      </c>
      <c r="Q350" s="8">
        <v>1.3611954915952285</v>
      </c>
      <c r="R350" s="3">
        <v>1.1332023753037514E-2</v>
      </c>
      <c r="S350" s="33">
        <v>-8.0460454663042441E-2</v>
      </c>
      <c r="T350" s="5">
        <v>56.3</v>
      </c>
      <c r="U350" s="34">
        <v>0.180137675</v>
      </c>
      <c r="V350">
        <v>1291.4466666666699</v>
      </c>
    </row>
    <row r="351" spans="1:22" x14ac:dyDescent="0.2">
      <c r="E351" s="6"/>
      <c r="U351" s="34"/>
    </row>
    <row r="352" spans="1:22" ht="16" x14ac:dyDescent="0.2">
      <c r="A352" s="2" t="s">
        <v>34</v>
      </c>
      <c r="B352" s="5">
        <v>2014</v>
      </c>
      <c r="C352" s="8">
        <v>5.6668233964622603</v>
      </c>
      <c r="D352" s="4">
        <v>3.174159553083991</v>
      </c>
      <c r="E352" s="6">
        <v>-1.6869162682403863E-2</v>
      </c>
      <c r="F352" s="11">
        <v>0.98370000000000002</v>
      </c>
      <c r="G352" s="8">
        <v>14941918</v>
      </c>
      <c r="H352" s="7">
        <v>84.410409828528969</v>
      </c>
      <c r="I352" s="4">
        <v>72493.276313239985</v>
      </c>
      <c r="J352" s="11">
        <v>2.4365999999999999</v>
      </c>
      <c r="K352" s="11">
        <v>55.8416</v>
      </c>
      <c r="L352" s="7">
        <v>1</v>
      </c>
      <c r="M352" s="8">
        <v>255.56290000000001</v>
      </c>
      <c r="N352" s="8">
        <v>11.250150203955226</v>
      </c>
      <c r="O352" s="8">
        <v>1.0400083705204479E-2</v>
      </c>
      <c r="P352" s="8">
        <v>9.2450174652793805E-3</v>
      </c>
      <c r="Q352" s="8">
        <v>2.1664556178672334</v>
      </c>
      <c r="R352" s="3">
        <v>1.0658411855686774E-2</v>
      </c>
      <c r="S352" s="33">
        <v>8.2815448769750916E-2</v>
      </c>
      <c r="T352" s="5">
        <v>49.8</v>
      </c>
      <c r="U352" s="34">
        <v>0.29875190000000001</v>
      </c>
      <c r="V352">
        <v>1052.8399999999999</v>
      </c>
    </row>
    <row r="353" spans="1:22" ht="16" x14ac:dyDescent="0.2">
      <c r="A353" s="2" t="s">
        <v>34</v>
      </c>
      <c r="B353" s="5">
        <v>2015</v>
      </c>
      <c r="C353" s="8">
        <v>2.7235600760614282</v>
      </c>
      <c r="D353" s="4">
        <v>-9.1035475905320826</v>
      </c>
      <c r="E353" s="6">
        <v>0.11916454130029092</v>
      </c>
      <c r="F353" s="11">
        <v>0.9587</v>
      </c>
      <c r="G353" s="8">
        <v>9202968</v>
      </c>
      <c r="H353" s="7">
        <v>-38.408389070265272</v>
      </c>
      <c r="I353" s="4">
        <v>75724.968492040003</v>
      </c>
      <c r="J353" s="11">
        <v>2.6044</v>
      </c>
      <c r="K353" s="11">
        <v>55.685200000000002</v>
      </c>
      <c r="L353" s="7">
        <v>1</v>
      </c>
      <c r="M353" s="8">
        <v>229.03229999999999</v>
      </c>
      <c r="N353" s="8">
        <v>11.248657930833552</v>
      </c>
      <c r="O353" s="8">
        <v>1.049982824213949E-2</v>
      </c>
      <c r="P353" s="8">
        <v>1.2669745549502285E-2</v>
      </c>
      <c r="Q353" s="8">
        <v>1.8460916964481398</v>
      </c>
      <c r="R353" s="3">
        <v>1.0435371583389415E-2</v>
      </c>
      <c r="S353" s="33">
        <v>-1.2493934145101969E-2</v>
      </c>
      <c r="T353" s="5">
        <v>50.1</v>
      </c>
      <c r="U353" s="34">
        <v>0.11522837500000001</v>
      </c>
      <c r="V353">
        <v>1130.9525000000001</v>
      </c>
    </row>
    <row r="354" spans="1:22" ht="16" x14ac:dyDescent="0.2">
      <c r="A354" s="2" t="s">
        <v>34</v>
      </c>
      <c r="B354" s="5">
        <v>2016</v>
      </c>
      <c r="C354" s="8">
        <v>2.7067569197468391</v>
      </c>
      <c r="D354" s="4">
        <v>7.8942510242693977</v>
      </c>
      <c r="E354" s="6">
        <v>-5.9601253500445643E-2</v>
      </c>
      <c r="F354" s="11">
        <v>0.9577</v>
      </c>
      <c r="G354" s="8">
        <v>10226644</v>
      </c>
      <c r="H354" s="7">
        <v>11.123324562249918</v>
      </c>
      <c r="I354" s="4">
        <v>58016.703582180002</v>
      </c>
      <c r="J354" s="11">
        <v>2.5789</v>
      </c>
      <c r="K354" s="11">
        <v>56.401600000000002</v>
      </c>
      <c r="L354" s="7">
        <v>1</v>
      </c>
      <c r="M354" s="8">
        <v>213.26349999999999</v>
      </c>
      <c r="N354" s="8">
        <v>11.256568393335918</v>
      </c>
      <c r="O354" s="8">
        <v>9.3894927654572871E-3</v>
      </c>
      <c r="P354" s="8">
        <v>9.1934415813509519E-3</v>
      </c>
      <c r="Q354" s="8">
        <v>1.5522559831137124</v>
      </c>
      <c r="R354" s="3">
        <v>1.056395809580354E-2</v>
      </c>
      <c r="S354" s="33">
        <v>2.342678227586574E-2</v>
      </c>
      <c r="T354" s="5">
        <v>64.099999999999994</v>
      </c>
      <c r="U354" s="34">
        <v>0.10451268333333334</v>
      </c>
      <c r="V354">
        <v>1160.7674999999999</v>
      </c>
    </row>
    <row r="355" spans="1:22" ht="16" x14ac:dyDescent="0.2">
      <c r="A355" s="2" t="s">
        <v>34</v>
      </c>
      <c r="B355" s="5">
        <v>2017</v>
      </c>
      <c r="C355" s="8">
        <v>2.2218932016081925</v>
      </c>
      <c r="D355" s="4">
        <v>0.60416270295390029</v>
      </c>
      <c r="E355" s="6">
        <v>8.6926588951611143E-3</v>
      </c>
      <c r="F355" s="11">
        <v>0.9577</v>
      </c>
      <c r="G355" s="8">
        <v>7025056</v>
      </c>
      <c r="H355" s="7">
        <v>-31.306340574679243</v>
      </c>
      <c r="I355" s="4">
        <v>92674.863236759993</v>
      </c>
      <c r="J355" s="11">
        <v>2.6461000000000001</v>
      </c>
      <c r="K355" s="11">
        <v>57.507300000000001</v>
      </c>
      <c r="L355" s="7">
        <v>1</v>
      </c>
      <c r="M355" s="8">
        <v>181.86770000000001</v>
      </c>
      <c r="N355" s="8">
        <v>11.389587359821137</v>
      </c>
      <c r="O355" s="8">
        <v>1.1099734439769974E-2</v>
      </c>
      <c r="P355" s="8">
        <v>1.0753076179835558E-2</v>
      </c>
      <c r="Q355" s="8">
        <v>1.8858461985321684</v>
      </c>
      <c r="R355" s="3">
        <v>1.0508726923663562E-2</v>
      </c>
      <c r="S355" s="33">
        <v>8.2520461084358843E-2</v>
      </c>
      <c r="T355" s="5">
        <v>55.3</v>
      </c>
      <c r="U355" s="34">
        <v>6.2295183333333337E-2</v>
      </c>
      <c r="V355">
        <v>1131.0008333333301</v>
      </c>
    </row>
    <row r="356" spans="1:22" ht="16" x14ac:dyDescent="0.2">
      <c r="A356" s="2" t="s">
        <v>34</v>
      </c>
      <c r="B356" s="5">
        <v>2018</v>
      </c>
      <c r="C356" s="8">
        <v>2.6347708035388342</v>
      </c>
      <c r="D356" s="4">
        <v>0.83091701691442466</v>
      </c>
      <c r="E356" s="6">
        <v>7.7397448240395447E-3</v>
      </c>
      <c r="F356" s="11">
        <v>0.94699999999999995</v>
      </c>
      <c r="G356" s="8">
        <v>8254208</v>
      </c>
      <c r="H356" s="7">
        <v>17.49668614741292</v>
      </c>
      <c r="I356" s="4">
        <v>93256.400959639985</v>
      </c>
      <c r="J356" s="11">
        <v>2.6339999999999999</v>
      </c>
      <c r="K356" s="11">
        <v>56.8643</v>
      </c>
      <c r="L356" s="7">
        <v>1</v>
      </c>
      <c r="M356" s="8">
        <v>168.62450000000001</v>
      </c>
      <c r="N356" s="8">
        <v>11.393270743301887</v>
      </c>
      <c r="O356" s="8">
        <v>1.2741307175801896E-2</v>
      </c>
      <c r="P356" s="8">
        <v>1.1587967099791853E-2</v>
      </c>
      <c r="Q356" s="8">
        <v>1.7193795317457257</v>
      </c>
      <c r="R356" s="3">
        <v>1.0481885662260899E-2</v>
      </c>
      <c r="S356" s="33">
        <v>6.2161478999902813E-2</v>
      </c>
      <c r="T356" s="5">
        <v>82.1</v>
      </c>
      <c r="U356" s="34">
        <v>0.11812107500000001</v>
      </c>
      <c r="V356">
        <v>1100.16333333333</v>
      </c>
    </row>
    <row r="357" spans="1:22" ht="16" x14ac:dyDescent="0.2">
      <c r="A357" s="2" t="s">
        <v>34</v>
      </c>
      <c r="B357" s="5">
        <v>2019</v>
      </c>
      <c r="C357" s="8">
        <v>2.78996778781588</v>
      </c>
      <c r="D357" s="4">
        <v>1.0716473133940558</v>
      </c>
      <c r="E357" s="6">
        <v>3.6393776965639568E-3</v>
      </c>
      <c r="F357" s="11">
        <v>0.9446</v>
      </c>
      <c r="G357" s="8">
        <v>8139902</v>
      </c>
      <c r="H357" s="7">
        <v>-1.3848209301243681</v>
      </c>
      <c r="I357" s="4">
        <v>73088.528825000001</v>
      </c>
      <c r="J357" s="11">
        <v>2.3532000000000002</v>
      </c>
      <c r="K357" s="11">
        <v>59.692900000000002</v>
      </c>
      <c r="L357" s="7">
        <v>1</v>
      </c>
      <c r="M357" s="8">
        <v>167.00899999999999</v>
      </c>
      <c r="N357" s="8">
        <v>11.413238932890666</v>
      </c>
      <c r="O357" s="8">
        <v>1.0275253164759149E-2</v>
      </c>
      <c r="P357" s="8">
        <v>1.10025533590074E-2</v>
      </c>
      <c r="Q357" s="8">
        <v>1.7995591765385186</v>
      </c>
      <c r="R357" s="3">
        <v>1.0387130991703625E-2</v>
      </c>
      <c r="S357" s="33">
        <v>-4.2567684038611962E-2</v>
      </c>
      <c r="T357" s="5">
        <v>82.1</v>
      </c>
      <c r="U357" s="34">
        <v>0.10839685</v>
      </c>
      <c r="V357">
        <v>1165.3575000000001</v>
      </c>
    </row>
    <row r="358" spans="1:22" ht="16" x14ac:dyDescent="0.2">
      <c r="A358" s="2" t="s">
        <v>34</v>
      </c>
      <c r="B358" s="5">
        <v>2020</v>
      </c>
      <c r="C358" s="8">
        <v>2.4347030924308966</v>
      </c>
      <c r="D358" s="4">
        <v>-0.59087707845979243</v>
      </c>
      <c r="E358" s="6">
        <v>3.3113446493669416E-2</v>
      </c>
      <c r="F358" s="11">
        <v>0.93969999999999998</v>
      </c>
      <c r="G358" s="8">
        <v>5186374</v>
      </c>
      <c r="H358" s="7">
        <v>-36.284564605323261</v>
      </c>
      <c r="I358" s="4">
        <v>57046.981302920001</v>
      </c>
      <c r="J358" s="11">
        <v>2.2097000000000002</v>
      </c>
      <c r="K358" s="11">
        <v>64.125699999999995</v>
      </c>
      <c r="L358" s="7">
        <v>1</v>
      </c>
      <c r="M358" s="8">
        <v>188.4091</v>
      </c>
      <c r="N358" s="8">
        <v>11.560252666197705</v>
      </c>
      <c r="O358" s="8">
        <v>8.5937503603703471E-3</v>
      </c>
      <c r="P358" s="8">
        <v>1.012724167264463E-2</v>
      </c>
      <c r="Q358" s="8">
        <v>1.5803513122312238</v>
      </c>
      <c r="R358" s="3">
        <v>1.043292484853137E-2</v>
      </c>
      <c r="S358" s="33">
        <v>-4.305467025402558E-3</v>
      </c>
      <c r="T358" s="5">
        <v>56.9</v>
      </c>
      <c r="U358" s="34">
        <v>0.13288566666666665</v>
      </c>
      <c r="V358">
        <v>1180.26583333333</v>
      </c>
    </row>
    <row r="359" spans="1:22" ht="16" x14ac:dyDescent="0.2">
      <c r="A359" s="2" t="s">
        <v>34</v>
      </c>
      <c r="B359" s="5">
        <v>2021</v>
      </c>
      <c r="C359" s="8">
        <v>3.1877418484583386</v>
      </c>
      <c r="D359" s="4">
        <v>-1.2461753032669562</v>
      </c>
      <c r="E359" s="6">
        <v>2.9935197408383817E-2</v>
      </c>
      <c r="F359" s="11">
        <v>0.94850000000000001</v>
      </c>
      <c r="G359" s="8">
        <v>6104469</v>
      </c>
      <c r="H359" s="7">
        <v>17.70205928072291</v>
      </c>
      <c r="I359" s="4">
        <v>37516.187501999993</v>
      </c>
      <c r="J359" s="11">
        <v>2.3601999999999999</v>
      </c>
      <c r="K359" s="11">
        <v>59.7879</v>
      </c>
      <c r="L359" s="7">
        <v>1</v>
      </c>
      <c r="M359" s="8">
        <v>207.88550000000001</v>
      </c>
      <c r="N359" s="8">
        <v>11.588080584744889</v>
      </c>
      <c r="O359" s="8">
        <v>8.1284635474407063E-3</v>
      </c>
      <c r="P359" s="8">
        <v>3.8570055448633594E-2</v>
      </c>
      <c r="Q359" s="8">
        <v>0.8803599635341004</v>
      </c>
      <c r="R359" s="3">
        <v>1.0486848655709041E-2</v>
      </c>
      <c r="S359" s="33">
        <v>0.10134512568818534</v>
      </c>
      <c r="T359" s="5">
        <v>56.4</v>
      </c>
      <c r="U359" s="34">
        <v>0.10445814166666667</v>
      </c>
      <c r="V359">
        <v>1143.95166666667</v>
      </c>
    </row>
    <row r="360" spans="1:22" ht="16" x14ac:dyDescent="0.2">
      <c r="A360" s="2" t="s">
        <v>34</v>
      </c>
      <c r="B360" s="5">
        <v>2022</v>
      </c>
      <c r="C360" s="8">
        <v>3.004004392613512</v>
      </c>
      <c r="D360" s="4">
        <v>2.5956926085913454</v>
      </c>
      <c r="E360" s="6">
        <v>-8.8337627541094713E-3</v>
      </c>
      <c r="F360" s="11">
        <v>0.94320000000000004</v>
      </c>
      <c r="G360" s="8">
        <v>12245985</v>
      </c>
      <c r="H360" s="7">
        <v>100.6068832522534</v>
      </c>
      <c r="I360" s="4">
        <v>38062.573278670003</v>
      </c>
      <c r="J360" s="11">
        <v>2.4542000000000002</v>
      </c>
      <c r="K360" s="11">
        <v>57.323900000000002</v>
      </c>
      <c r="L360" s="7">
        <v>1</v>
      </c>
      <c r="M360" s="8">
        <v>186.12469999999999</v>
      </c>
      <c r="N360" s="8">
        <v>11.59938361454112</v>
      </c>
      <c r="O360" s="8">
        <v>9.8856619047843607E-3</v>
      </c>
      <c r="P360" s="8">
        <v>4.284238303530364E-2</v>
      </c>
      <c r="Q360" s="8">
        <v>1.6022976109894573</v>
      </c>
      <c r="R360" s="3">
        <v>1.0396378054216679E-2</v>
      </c>
      <c r="S360" s="33">
        <v>-8.0460454663042441E-2</v>
      </c>
      <c r="T360" s="5">
        <v>56.3</v>
      </c>
      <c r="U360" s="34">
        <v>0.180137675</v>
      </c>
      <c r="V360">
        <v>1291.4466666666699</v>
      </c>
    </row>
    <row r="361" spans="1:22" x14ac:dyDescent="0.2">
      <c r="A361" s="5" t="s">
        <v>26</v>
      </c>
      <c r="U361" s="34"/>
    </row>
    <row r="362" spans="1:22" ht="16" x14ac:dyDescent="0.2">
      <c r="A362" s="2" t="s">
        <v>27</v>
      </c>
      <c r="B362" s="5">
        <v>2014</v>
      </c>
      <c r="C362" s="8">
        <v>5.5342414944578566</v>
      </c>
      <c r="D362" s="4">
        <v>-1.2181482920467632</v>
      </c>
      <c r="E362" s="9">
        <v>2.3425297529593186E-2</v>
      </c>
      <c r="F362" s="12" t="e">
        <f ca="1">_xll.BDH("BEN AU Equity","TOBIN_Q_RATIO","FY 2014","FY 2014","Currency=USD","Period=FY","BEST_FPERIOD_OVERRIDE=FY","FILING_STATUS=MR","Sort=A","Dates=H","DateFormat=P","Fill=—","Direction=H","UseDPDF=Y")</f>
        <v>#NAME?</v>
      </c>
      <c r="G362" s="12">
        <v>26903</v>
      </c>
      <c r="H362" s="12">
        <v>18.985542436171809</v>
      </c>
      <c r="I362" s="4">
        <v>37420.713553099995</v>
      </c>
      <c r="J362" s="21">
        <v>1.8872</v>
      </c>
      <c r="K362" s="8">
        <v>56.093800000000002</v>
      </c>
      <c r="L362" s="7">
        <v>1</v>
      </c>
      <c r="M362" s="8">
        <v>131.61779999999999</v>
      </c>
      <c r="N362" s="8">
        <v>11.023784307840655</v>
      </c>
      <c r="O362" s="8">
        <v>5.5602387399426162E-3</v>
      </c>
      <c r="P362" s="8">
        <v>7.5348269241285494E-3</v>
      </c>
      <c r="Q362" s="8">
        <v>3.3749764711113985</v>
      </c>
      <c r="R362" s="3">
        <v>1.0150084164484333E-2</v>
      </c>
      <c r="S362" s="33">
        <v>-6.8982897117293038E-2</v>
      </c>
      <c r="T362" s="5">
        <v>71.099999999999994</v>
      </c>
      <c r="U362" s="34">
        <v>0.10778419166666668</v>
      </c>
      <c r="V362">
        <v>1.1093632928169199</v>
      </c>
    </row>
    <row r="363" spans="1:22" ht="16" x14ac:dyDescent="0.2">
      <c r="A363" s="2" t="s">
        <v>27</v>
      </c>
      <c r="B363" s="5">
        <v>2015</v>
      </c>
      <c r="C363" s="8">
        <v>5.9561215944468771</v>
      </c>
      <c r="D363" s="4">
        <v>-3.3285172228961182</v>
      </c>
      <c r="E363" s="9">
        <v>5.0955506492940061E-2</v>
      </c>
      <c r="F363" s="12" t="e">
        <f ca="1">_xll.BDH("BEN AU Equity","TOBIN_Q_RATIO","FY 2015","FY 2015","Currency=USD","Period=FY","BEST_FPERIOD_OVERRIDE=FY","FILING_STATUS=MR","Sort=A","Dates=H","DateFormat=P","Fill=—","Direction=H","UseDPDF=Y")</f>
        <v>#NAME?</v>
      </c>
      <c r="G363" s="12">
        <v>27079.97</v>
      </c>
      <c r="H363" s="12">
        <v>0.65780767944095886</v>
      </c>
      <c r="I363" s="4">
        <v>24836.759512000001</v>
      </c>
      <c r="J363" s="10">
        <v>1.8734</v>
      </c>
      <c r="K363" s="8">
        <v>56.673999999999999</v>
      </c>
      <c r="L363" s="7">
        <v>1</v>
      </c>
      <c r="M363" s="8">
        <v>132.35730000000001</v>
      </c>
      <c r="N363" s="8">
        <v>10.837519946238144</v>
      </c>
      <c r="O363" s="8">
        <v>5.78389162639206E-3</v>
      </c>
      <c r="P363" s="8">
        <v>1.3356911550386314E-2</v>
      </c>
      <c r="Q363" s="8">
        <v>3.0099129843241044</v>
      </c>
      <c r="R363" s="3">
        <v>1.0424310081032439E-2</v>
      </c>
      <c r="S363" s="33">
        <v>-7.9729061071476787E-2</v>
      </c>
      <c r="T363" s="5">
        <v>70.900000000000006</v>
      </c>
      <c r="U363" s="34">
        <v>0.17763920833333333</v>
      </c>
      <c r="V363">
        <v>1.33109026245502</v>
      </c>
    </row>
    <row r="364" spans="1:22" ht="16" x14ac:dyDescent="0.2">
      <c r="A364" s="2" t="s">
        <v>27</v>
      </c>
      <c r="B364" s="5">
        <v>2016</v>
      </c>
      <c r="C364" s="8">
        <v>5.7130627441725217</v>
      </c>
      <c r="D364" s="4">
        <v>-6.9842431836675156E-2</v>
      </c>
      <c r="E364" s="9">
        <v>2.0445545446967247E-2</v>
      </c>
      <c r="F364" s="12" t="e">
        <f ca="1">_xll.BDH("BEN AU Equity","TOBIN_Q_RATIO","FY 2016","FY 2016","Currency=USD","Period=FY","BEST_FPERIOD_OVERRIDE=FY","FILING_STATUS=MR","Sort=A","Dates=H","DateFormat=P","Fill=—","Direction=H","UseDPDF=Y")</f>
        <v>#NAME?</v>
      </c>
      <c r="G364" s="12">
        <v>36228.68</v>
      </c>
      <c r="H364" s="12">
        <v>33.784047766670341</v>
      </c>
      <c r="I364" s="4">
        <v>22617.171128129998</v>
      </c>
      <c r="J364" s="10">
        <v>1.8833</v>
      </c>
      <c r="K364" s="8">
        <v>57.199199999999998</v>
      </c>
      <c r="L364" s="7">
        <v>1</v>
      </c>
      <c r="M364" s="8">
        <v>108.01130000000001</v>
      </c>
      <c r="N364" s="8">
        <v>10.840875949253819</v>
      </c>
      <c r="O364" s="8">
        <v>5.6545050743228454E-3</v>
      </c>
      <c r="P364" s="8">
        <v>1.2934219241776016E-2</v>
      </c>
      <c r="Q364" s="8">
        <v>2.502553961121893</v>
      </c>
      <c r="R364" s="3">
        <v>1.0092493601306969E-2</v>
      </c>
      <c r="S364" s="33">
        <v>-0.10663373506009644</v>
      </c>
      <c r="T364" s="5">
        <v>69.900000000000006</v>
      </c>
      <c r="U364" s="34">
        <v>0.26206356666666669</v>
      </c>
      <c r="V364">
        <v>1.3452139760194699</v>
      </c>
    </row>
    <row r="365" spans="1:22" ht="16" x14ac:dyDescent="0.2">
      <c r="A365" s="2" t="s">
        <v>27</v>
      </c>
      <c r="B365" s="5">
        <v>2017</v>
      </c>
      <c r="C365" s="8">
        <v>5.6938751634289719</v>
      </c>
      <c r="D365" s="4">
        <v>-8.1612314895823062</v>
      </c>
      <c r="E365" s="9">
        <v>9.7876396286445455E-2</v>
      </c>
      <c r="F365" s="12" t="e">
        <f ca="1">_xll.BDH("BEN AU Equity","TOBIN_Q_RATIO","FY 2017","FY 2017","Currency=USD","Period=FY","BEST_FPERIOD_OVERRIDE=FY","FILING_STATUS=MR","Sort=A","Dates=H","DateFormat=P","Fill=—","Direction=H","UseDPDF=Y")</f>
        <v>#NAME?</v>
      </c>
      <c r="G365" s="12">
        <v>36089.1</v>
      </c>
      <c r="H365" s="12">
        <v>-0.3852748706273641</v>
      </c>
      <c r="I365" s="4">
        <v>18072.897768639999</v>
      </c>
      <c r="J365" s="10">
        <v>1.8551</v>
      </c>
      <c r="K365" s="8">
        <v>55.574599999999997</v>
      </c>
      <c r="L365" s="7">
        <v>1</v>
      </c>
      <c r="M365" s="8">
        <v>107.3725</v>
      </c>
      <c r="N365" s="8">
        <v>10.912044215187032</v>
      </c>
      <c r="O365" s="8">
        <v>4.6266574039451145E-3</v>
      </c>
      <c r="P365" s="8">
        <v>1.0831104259310503E-2</v>
      </c>
      <c r="Q365" s="8">
        <v>2.236352023289395</v>
      </c>
      <c r="R365" s="3">
        <v>1.0297689821401154E-2</v>
      </c>
      <c r="S365" s="33">
        <v>9.9376978830331336E-2</v>
      </c>
      <c r="T365" s="5">
        <v>69.7</v>
      </c>
      <c r="U365" s="34">
        <v>0.38788858333333326</v>
      </c>
      <c r="V365">
        <v>1.3047580767159199</v>
      </c>
    </row>
    <row r="366" spans="1:22" ht="16" x14ac:dyDescent="0.2">
      <c r="A366" s="2" t="s">
        <v>27</v>
      </c>
      <c r="B366" s="5">
        <v>2018</v>
      </c>
      <c r="C366" s="8">
        <v>5.6707580690151387</v>
      </c>
      <c r="D366" s="4">
        <v>0.60470726571027955</v>
      </c>
      <c r="E366" s="9">
        <v>7.515886892468987E-3</v>
      </c>
      <c r="F366" s="12" t="e">
        <f ca="1">_xll.BDH("BEN AU Equity","TOBIN_Q_RATIO","FY 2018","FY 2018","Currency=USD","Period=FY","BEST_FPERIOD_OVERRIDE=FY","FILING_STATUS=MR","Sort=A","Dates=H","DateFormat=P","Fill=—","Direction=H","UseDPDF=Y")</f>
        <v>#NAME?</v>
      </c>
      <c r="G366" s="12">
        <v>44681.02</v>
      </c>
      <c r="H366" s="12">
        <v>23.80752083038923</v>
      </c>
      <c r="I366" s="4">
        <v>24530.809913639998</v>
      </c>
      <c r="J366" s="10">
        <v>1.9774</v>
      </c>
      <c r="K366" s="8">
        <v>56.158700000000003</v>
      </c>
      <c r="L366" s="7">
        <v>1</v>
      </c>
      <c r="M366" s="8">
        <v>97.635400000000004</v>
      </c>
      <c r="N366" s="8">
        <v>10.874694183136159</v>
      </c>
      <c r="O366" s="8">
        <v>4.9717648510086239E-3</v>
      </c>
      <c r="P366" s="8">
        <v>1.1014227453198189E-2</v>
      </c>
      <c r="Q366" s="8">
        <v>2.1345941907448349</v>
      </c>
      <c r="R366" s="3">
        <v>1.0399818672891291E-2</v>
      </c>
      <c r="S366" s="33">
        <v>7.6744456043470993E-2</v>
      </c>
      <c r="T366" s="5">
        <v>69.900000000000006</v>
      </c>
      <c r="U366" s="34">
        <v>0.15196149166666664</v>
      </c>
      <c r="V366">
        <v>1.33841214646451</v>
      </c>
    </row>
    <row r="367" spans="1:22" ht="16" x14ac:dyDescent="0.2">
      <c r="A367" s="2" t="s">
        <v>27</v>
      </c>
      <c r="B367" s="5">
        <v>2019</v>
      </c>
      <c r="C367" s="8">
        <v>4.9655971511023216</v>
      </c>
      <c r="D367" s="4">
        <v>0.72184561149923654</v>
      </c>
      <c r="E367" s="9">
        <v>5.1513620795779983E-3</v>
      </c>
      <c r="F367" s="12" t="e">
        <f ca="1">_xll.BDH("BEN AU Equity","TOBIN_Q_RATIO","FY 2019","FY 2019","Currency=USD","Period=FY","BEST_FPERIOD_OVERRIDE=FY","FILING_STATUS=MR","Sort=A","Dates=H","DateFormat=P","Fill=—","Direction=H","UseDPDF=Y")</f>
        <v>#NAME?</v>
      </c>
      <c r="G367" s="12">
        <v>79814</v>
      </c>
      <c r="H367" s="12">
        <v>78.630657939321907</v>
      </c>
      <c r="I367" s="4">
        <v>21568.12992336</v>
      </c>
      <c r="J367" s="10">
        <v>1.9611000000000001</v>
      </c>
      <c r="K367" s="8">
        <v>60.798000000000002</v>
      </c>
      <c r="L367" s="7">
        <v>1</v>
      </c>
      <c r="M367" s="8">
        <v>96.825100000000006</v>
      </c>
      <c r="N367" s="8">
        <v>10.83534427925146</v>
      </c>
      <c r="O367" s="8">
        <v>5.8342048488638915E-3</v>
      </c>
      <c r="P367" s="8">
        <v>1.0103498577499865E-2</v>
      </c>
      <c r="Q367" s="8">
        <v>2.4523550860004382</v>
      </c>
      <c r="R367" s="3">
        <v>1.0262074564269048E-2</v>
      </c>
      <c r="S367" s="33">
        <v>-2.5238976941071883E-2</v>
      </c>
      <c r="T367" s="5">
        <v>69.400000000000006</v>
      </c>
      <c r="U367" s="34">
        <v>0.21756721666666667</v>
      </c>
      <c r="V367">
        <v>1.4385065442138201</v>
      </c>
    </row>
    <row r="368" spans="1:22" ht="16" x14ac:dyDescent="0.2">
      <c r="A368" s="2" t="s">
        <v>27</v>
      </c>
      <c r="B368" s="5">
        <v>2020</v>
      </c>
      <c r="C368" s="8">
        <v>2.7742714767390924</v>
      </c>
      <c r="D368" s="4">
        <v>0.66277404462110079</v>
      </c>
      <c r="E368" s="9">
        <v>2.5273532892828729E-2</v>
      </c>
      <c r="F368" s="12" t="e">
        <f ca="1">_xll.BDH("BEN AU Equity","TOBIN_Q_RATIO","FY 2020","FY 2020","Currency=USD","Period=FY","BEST_FPERIOD_OVERRIDE=FY","FILING_STATUS=MR","Sort=A","Dates=H","DateFormat=P","Fill=—","Direction=H","UseDPDF=Y")</f>
        <v>#NAME?</v>
      </c>
      <c r="G368" s="12">
        <v>32780.71</v>
      </c>
      <c r="H368" s="12">
        <v>-58.928621545092341</v>
      </c>
      <c r="I368" s="4">
        <v>16501.82862471</v>
      </c>
      <c r="J368" s="10">
        <v>1.9581</v>
      </c>
      <c r="K368" s="8">
        <v>71.835700000000003</v>
      </c>
      <c r="L368" s="7">
        <v>1</v>
      </c>
      <c r="M368" s="8">
        <v>93.675600000000003</v>
      </c>
      <c r="N368" s="8">
        <v>10.866091709706861</v>
      </c>
      <c r="O368" s="8">
        <v>6.5465397516534527E-3</v>
      </c>
      <c r="P368" s="8">
        <v>1.0777135312973555E-2</v>
      </c>
      <c r="Q368" s="8">
        <v>3.2729816875292164</v>
      </c>
      <c r="R368" s="3">
        <v>1.0191017623844379E-2</v>
      </c>
      <c r="S368" s="33">
        <v>-4.6884808953549767E-2</v>
      </c>
      <c r="T368" s="5">
        <v>68.3</v>
      </c>
      <c r="U368" s="34">
        <v>0.20738910833333335</v>
      </c>
      <c r="V368">
        <v>1.4530851184701601</v>
      </c>
    </row>
    <row r="369" spans="1:22" ht="16" x14ac:dyDescent="0.2">
      <c r="A369" s="2" t="s">
        <v>27</v>
      </c>
      <c r="B369" s="5">
        <v>2021</v>
      </c>
      <c r="C369" s="8">
        <v>5.9267660654905923</v>
      </c>
      <c r="D369" s="4">
        <v>22.927466936608106</v>
      </c>
      <c r="E369" s="9">
        <v>-0.21246876422219446</v>
      </c>
      <c r="F369" s="12" t="e">
        <f ca="1">_xll.BDH("BEN AU Equity","TOBIN_Q_RATIO","FY 2021","FY 2021","Currency=USD","Period=FY","BEST_FPERIOD_OVERRIDE=FY","FILING_STATUS=MR","Sort=A","Dates=H","DateFormat=P","Fill=—","Direction=H","UseDPDF=Y")</f>
        <v>#NAME?</v>
      </c>
      <c r="G369" s="12">
        <v>18260.330000000002</v>
      </c>
      <c r="H369" s="12">
        <v>-44.295501836293347</v>
      </c>
      <c r="I369" s="4">
        <v>15636.07866612</v>
      </c>
      <c r="J369" s="10">
        <v>1.9448000000000001</v>
      </c>
      <c r="K369" s="8">
        <v>56.772399999999998</v>
      </c>
      <c r="L369" s="7">
        <v>1</v>
      </c>
      <c r="M369" s="8">
        <v>83.994600000000005</v>
      </c>
      <c r="N369" s="8">
        <v>11.080709627351293</v>
      </c>
      <c r="O369" s="8">
        <v>6.1589443348743951E-3</v>
      </c>
      <c r="P369" s="8">
        <v>7.6605075068813755E-2</v>
      </c>
      <c r="Q369" s="8">
        <v>0.59015519862661237</v>
      </c>
      <c r="R369" s="3">
        <v>9.7324591992866347E-3</v>
      </c>
      <c r="S369" s="33">
        <v>0.17013409527144688</v>
      </c>
      <c r="T369" s="5">
        <v>69.400000000000006</v>
      </c>
      <c r="U369" s="34">
        <v>0.22799430000000001</v>
      </c>
      <c r="V369">
        <v>1.3312242595708099</v>
      </c>
    </row>
    <row r="370" spans="1:22" ht="16" x14ac:dyDescent="0.2">
      <c r="A370" s="2" t="s">
        <v>27</v>
      </c>
      <c r="B370" s="5">
        <v>2022</v>
      </c>
      <c r="C370" s="8">
        <v>5.0136991409568816</v>
      </c>
      <c r="D370" s="4">
        <v>-7.9423458908011363E-2</v>
      </c>
      <c r="E370" s="9">
        <v>2.1135052957277044E-2</v>
      </c>
      <c r="F370" s="12" t="e">
        <f ca="1">_xll.BDH("BEN AU Equity","TOBIN_Q_RATIO","FY 2022","FY 2022","Currency=USD","Period=FY","BEST_FPERIOD_OVERRIDE=FY","FILING_STATUS=MR","Sort=A","Dates=H","DateFormat=P","Fill=—","Direction=H","UseDPDF=Y")</f>
        <v>#NAME?</v>
      </c>
      <c r="G370" s="12">
        <v>10327.68</v>
      </c>
      <c r="H370" s="12">
        <v>-43.441985988205033</v>
      </c>
      <c r="I370" s="4">
        <v>9005.4908532000009</v>
      </c>
      <c r="J370" s="10">
        <v>1.7455000000000001</v>
      </c>
      <c r="K370" s="8">
        <v>59.703499999999998</v>
      </c>
      <c r="L370" s="7">
        <v>1</v>
      </c>
      <c r="M370" s="8">
        <v>199.53659999999999</v>
      </c>
      <c r="N370" s="8">
        <v>11.094825038879872</v>
      </c>
      <c r="O370" s="8">
        <v>4.7652018551052142E-3</v>
      </c>
      <c r="P370" s="8">
        <v>3.2394236444795062E-2</v>
      </c>
      <c r="Q370" s="8">
        <v>0.47405195601892558</v>
      </c>
      <c r="R370" s="3">
        <v>1.045560206353527E-2</v>
      </c>
      <c r="S370" s="33">
        <v>7.9033467101142882E-2</v>
      </c>
      <c r="T370" s="5">
        <v>69.099999999999994</v>
      </c>
      <c r="U370" s="34">
        <v>0.16926596666666663</v>
      </c>
      <c r="V370">
        <v>1.4416644589652201</v>
      </c>
    </row>
    <row r="371" spans="1:22" x14ac:dyDescent="0.2">
      <c r="D371" s="4"/>
      <c r="H371" s="12"/>
      <c r="U371" s="34"/>
    </row>
    <row r="372" spans="1:22" ht="16" x14ac:dyDescent="0.2">
      <c r="A372" s="2" t="s">
        <v>28</v>
      </c>
      <c r="B372" s="5">
        <v>2014</v>
      </c>
      <c r="C372" s="8">
        <v>2.8871740676683175</v>
      </c>
      <c r="D372" s="4">
        <v>-2.9283303043837119</v>
      </c>
      <c r="E372" s="6">
        <v>4.2223519953608353E-2</v>
      </c>
      <c r="F372" s="11">
        <v>1.0259</v>
      </c>
      <c r="G372" s="8">
        <v>59847.74</v>
      </c>
      <c r="H372" s="7">
        <v>32.899555896643989</v>
      </c>
      <c r="I372" s="4">
        <v>27364.720813650001</v>
      </c>
      <c r="J372" s="11">
        <v>1.8275999999999999</v>
      </c>
      <c r="K372" s="11">
        <v>49.678100000000001</v>
      </c>
      <c r="L372" s="7">
        <v>1</v>
      </c>
      <c r="M372" s="8">
        <v>256.54000000000002</v>
      </c>
      <c r="N372" s="8">
        <v>10.687493645693586</v>
      </c>
      <c r="O372" s="8">
        <v>7.5617324189721268E-3</v>
      </c>
      <c r="P372" s="8">
        <v>8.460302649406783E-3</v>
      </c>
      <c r="Q372" s="8">
        <v>3.5274147238829734</v>
      </c>
      <c r="R372" s="3">
        <v>1.1244653735194364E-2</v>
      </c>
      <c r="S372" s="33">
        <v>-6.8982897117293038E-2</v>
      </c>
      <c r="T372" s="5">
        <v>71.099999999999994</v>
      </c>
      <c r="U372" s="34">
        <v>0.10778419166666668</v>
      </c>
      <c r="V372">
        <v>1.1093632928169199</v>
      </c>
    </row>
    <row r="373" spans="1:22" ht="16" x14ac:dyDescent="0.2">
      <c r="A373" s="2" t="s">
        <v>28</v>
      </c>
      <c r="B373" s="5">
        <v>2015</v>
      </c>
      <c r="C373" s="8">
        <v>3.2720899847787055</v>
      </c>
      <c r="D373" s="4">
        <v>0.25957961699124582</v>
      </c>
      <c r="E373" s="6">
        <v>1.4921479766029821E-2</v>
      </c>
      <c r="F373" s="11">
        <v>1.0255000000000001</v>
      </c>
      <c r="G373" s="8">
        <v>48262.09</v>
      </c>
      <c r="H373" s="7">
        <v>-19.358542193907407</v>
      </c>
      <c r="I373" s="4">
        <v>16873.229409119998</v>
      </c>
      <c r="J373" s="11">
        <v>1.9610000000000001</v>
      </c>
      <c r="K373" s="11">
        <v>50.4163</v>
      </c>
      <c r="L373" s="7">
        <v>1</v>
      </c>
      <c r="M373" s="8">
        <v>258.6336</v>
      </c>
      <c r="N373" s="8">
        <v>10.439513392722791</v>
      </c>
      <c r="O373" s="8">
        <v>6.6381940207443559E-3</v>
      </c>
      <c r="P373" s="8">
        <v>1.1508303199803843E-2</v>
      </c>
      <c r="Q373" s="8">
        <v>2.8722945811570395</v>
      </c>
      <c r="R373" s="3">
        <v>1.1797479319363971E-2</v>
      </c>
      <c r="S373" s="33">
        <v>-7.9729061071476787E-2</v>
      </c>
      <c r="T373" s="5">
        <v>70.900000000000006</v>
      </c>
      <c r="U373" s="34">
        <v>0.17763920833333333</v>
      </c>
      <c r="V373">
        <v>1.33109026245502</v>
      </c>
    </row>
    <row r="374" spans="1:22" ht="16" x14ac:dyDescent="0.2">
      <c r="A374" s="2" t="s">
        <v>28</v>
      </c>
      <c r="B374" s="5">
        <v>2016</v>
      </c>
      <c r="C374" s="8">
        <v>3.3249592179967729</v>
      </c>
      <c r="D374" s="4">
        <v>-1.273594938024406</v>
      </c>
      <c r="E374" s="6">
        <v>3.2458642162860721E-2</v>
      </c>
      <c r="F374" s="11">
        <v>1.0084</v>
      </c>
      <c r="G374" s="8">
        <v>49010.6</v>
      </c>
      <c r="H374" s="7">
        <v>1.550927446366293</v>
      </c>
      <c r="I374" s="4">
        <v>17448.072141059998</v>
      </c>
      <c r="J374" s="11">
        <v>1.9392</v>
      </c>
      <c r="K374" s="11">
        <v>49.279299999999999</v>
      </c>
      <c r="L374" s="7">
        <v>1</v>
      </c>
      <c r="M374" s="8">
        <v>267.82830000000001</v>
      </c>
      <c r="N374" s="8">
        <v>10.551808411636816</v>
      </c>
      <c r="O374" s="8">
        <v>5.9325176121616608E-3</v>
      </c>
      <c r="P374" s="8">
        <v>1.3823472189366312E-2</v>
      </c>
      <c r="Q374" s="8">
        <v>2.4616934673449848</v>
      </c>
      <c r="R374" s="3">
        <v>1.1751638757670995E-2</v>
      </c>
      <c r="S374" s="33">
        <v>-0.10663373506009644</v>
      </c>
      <c r="T374" s="5">
        <v>69.900000000000006</v>
      </c>
      <c r="U374" s="34">
        <v>0.26206356666666669</v>
      </c>
      <c r="V374">
        <v>1.3452139760194699</v>
      </c>
    </row>
    <row r="375" spans="1:22" ht="16" x14ac:dyDescent="0.2">
      <c r="A375" s="2" t="s">
        <v>28</v>
      </c>
      <c r="B375" s="5">
        <v>2017</v>
      </c>
      <c r="C375" s="8">
        <v>3.3509324230084627</v>
      </c>
      <c r="D375" s="4">
        <v>6.5449798442257059</v>
      </c>
      <c r="E375" s="6">
        <v>-5.3314201361749587E-2</v>
      </c>
      <c r="F375" s="11">
        <v>1.022</v>
      </c>
      <c r="G375" s="8">
        <v>52154.11</v>
      </c>
      <c r="H375" s="7">
        <v>6.4139390254353179</v>
      </c>
      <c r="I375" s="4">
        <v>15222.773674079997</v>
      </c>
      <c r="J375" s="11">
        <v>1.8787</v>
      </c>
      <c r="K375" s="11">
        <v>49.407499999999999</v>
      </c>
      <c r="L375" s="7">
        <v>1</v>
      </c>
      <c r="M375" s="8">
        <v>261.69479999999999</v>
      </c>
      <c r="N375" s="8">
        <v>10.62021605526118</v>
      </c>
      <c r="O375" s="8">
        <v>5.1806376520528562E-3</v>
      </c>
      <c r="P375" s="8">
        <v>1.0411563844627589E-2</v>
      </c>
      <c r="Q375" s="8">
        <v>2.2090727239878287</v>
      </c>
      <c r="R375" s="3">
        <v>1.1788582246716512E-2</v>
      </c>
      <c r="S375" s="33">
        <v>9.9376978830331336E-2</v>
      </c>
      <c r="T375" s="5">
        <v>69.7</v>
      </c>
      <c r="U375" s="34">
        <v>0.38788858333333326</v>
      </c>
      <c r="V375">
        <v>1.3047580767159199</v>
      </c>
    </row>
    <row r="376" spans="1:22" ht="16" x14ac:dyDescent="0.2">
      <c r="A376" s="2" t="s">
        <v>28</v>
      </c>
      <c r="B376" s="5">
        <v>2018</v>
      </c>
      <c r="C376" s="8">
        <v>3.1519107601879366</v>
      </c>
      <c r="D376" s="4">
        <v>1.6407135094500558</v>
      </c>
      <c r="E376" s="6">
        <v>-2.6273529298367483E-3</v>
      </c>
      <c r="F376" s="11">
        <v>1.0133000000000001</v>
      </c>
      <c r="G376" s="8">
        <v>36282.19</v>
      </c>
      <c r="H376" s="7">
        <v>-30.43273099665587</v>
      </c>
      <c r="I376" s="4">
        <v>11788.5543696</v>
      </c>
      <c r="J376" s="11">
        <v>1.9807999999999999</v>
      </c>
      <c r="K376" s="11">
        <v>52.150500000000001</v>
      </c>
      <c r="L376" s="7">
        <v>1</v>
      </c>
      <c r="M376" s="8">
        <v>269.50209999999998</v>
      </c>
      <c r="N376" s="8">
        <v>10.54735850831832</v>
      </c>
      <c r="O376" s="8">
        <v>4.4391439740276949E-3</v>
      </c>
      <c r="P376" s="8">
        <v>1.5862708364159251E-2</v>
      </c>
      <c r="Q376" s="8">
        <v>2.2393510576716515</v>
      </c>
      <c r="R376" s="3">
        <v>1.1910192574248945E-2</v>
      </c>
      <c r="S376" s="33">
        <v>7.6744456043470993E-2</v>
      </c>
      <c r="T376" s="5">
        <v>69.900000000000006</v>
      </c>
      <c r="U376" s="34">
        <v>0.15196149166666664</v>
      </c>
      <c r="V376">
        <v>1.33841214646451</v>
      </c>
    </row>
    <row r="377" spans="1:22" ht="16" x14ac:dyDescent="0.2">
      <c r="A377" s="2" t="s">
        <v>28</v>
      </c>
      <c r="B377" s="5">
        <v>2019</v>
      </c>
      <c r="C377" s="8">
        <v>2.7257443397346393</v>
      </c>
      <c r="D377" s="4">
        <v>0.78186479323814806</v>
      </c>
      <c r="E377" s="6">
        <v>6.342277577335971E-3</v>
      </c>
      <c r="F377" s="11">
        <v>0.99739999999999995</v>
      </c>
      <c r="G377" s="8">
        <v>30560.87</v>
      </c>
      <c r="H377" s="7">
        <v>-15.768948897516943</v>
      </c>
      <c r="I377" s="4">
        <v>13250.856103170001</v>
      </c>
      <c r="J377" s="11">
        <v>1.9280999999999999</v>
      </c>
      <c r="K377" s="11">
        <v>53.558399999999999</v>
      </c>
      <c r="L377" s="7">
        <v>1</v>
      </c>
      <c r="M377" s="8">
        <v>317.98390000000001</v>
      </c>
      <c r="N377" s="8">
        <v>10.529428707997843</v>
      </c>
      <c r="O377" s="8">
        <v>5.0415440540072702E-3</v>
      </c>
      <c r="P377" s="8">
        <v>1.2342212361726213E-2</v>
      </c>
      <c r="Q377" s="8">
        <v>2.5218394953924808</v>
      </c>
      <c r="R377" s="3">
        <v>1.2055187631474814E-2</v>
      </c>
      <c r="S377" s="33">
        <v>-2.5238976941071883E-2</v>
      </c>
      <c r="T377" s="5">
        <v>69.400000000000006</v>
      </c>
      <c r="U377" s="34">
        <v>0.21756721666666667</v>
      </c>
      <c r="V377">
        <v>1.4385065442138201</v>
      </c>
    </row>
    <row r="378" spans="1:22" ht="16" x14ac:dyDescent="0.2">
      <c r="A378" s="2" t="s">
        <v>28</v>
      </c>
      <c r="B378" s="5">
        <v>2020</v>
      </c>
      <c r="C378" s="8">
        <v>1.2309341509845748</v>
      </c>
      <c r="D378" s="4">
        <v>-0.60035686281801992</v>
      </c>
      <c r="E378" s="6">
        <v>3.5659388180446026E-2</v>
      </c>
      <c r="F378" s="11">
        <v>0.97450000000000003</v>
      </c>
      <c r="G378" s="8">
        <v>25282.57</v>
      </c>
      <c r="H378" s="7">
        <v>-17.271432390504586</v>
      </c>
      <c r="I378" s="4">
        <v>14411.373498000001</v>
      </c>
      <c r="J378" s="11">
        <v>1.9048</v>
      </c>
      <c r="K378" s="11">
        <v>68.363600000000005</v>
      </c>
      <c r="L378" s="7">
        <v>1</v>
      </c>
      <c r="M378" s="8">
        <v>274.9941</v>
      </c>
      <c r="N378" s="8">
        <v>10.644341167385214</v>
      </c>
      <c r="O378" s="8">
        <v>7.843887507174286E-3</v>
      </c>
      <c r="P378" s="8">
        <v>1.4682569987473098E-2</v>
      </c>
      <c r="Q378" s="8">
        <v>4.6820815334010657</v>
      </c>
      <c r="R378" s="3">
        <v>1.1881639777181527E-2</v>
      </c>
      <c r="S378" s="33">
        <v>-4.6884808953549767E-2</v>
      </c>
      <c r="T378" s="5">
        <v>68.3</v>
      </c>
      <c r="U378" s="34">
        <v>0.20738910833333335</v>
      </c>
      <c r="V378">
        <v>1.4530851184701601</v>
      </c>
    </row>
    <row r="379" spans="1:22" ht="16" x14ac:dyDescent="0.2">
      <c r="A379" s="2" t="s">
        <v>28</v>
      </c>
      <c r="B379" s="5">
        <v>2021</v>
      </c>
      <c r="C379" s="8">
        <v>2.4936950511851945</v>
      </c>
      <c r="D379" s="4">
        <v>3.5643564677768653</v>
      </c>
      <c r="E379" s="6">
        <v>-1.8308421522687631E-2</v>
      </c>
      <c r="F379" s="11">
        <v>0.99839999999999995</v>
      </c>
      <c r="G379" s="8">
        <v>26672.67</v>
      </c>
      <c r="H379" s="7">
        <v>5.4982543309481535</v>
      </c>
      <c r="I379" s="4">
        <v>17769.009860819999</v>
      </c>
      <c r="J379" s="11">
        <v>1.3669</v>
      </c>
      <c r="K379" s="11">
        <v>58.738999999999997</v>
      </c>
      <c r="L379" s="7">
        <v>1</v>
      </c>
      <c r="M379" s="8">
        <v>295.44940000000003</v>
      </c>
      <c r="N379" s="8">
        <v>11.110222332593041</v>
      </c>
      <c r="O379" s="8">
        <v>4.1057189628769071E-3</v>
      </c>
      <c r="P379" s="8">
        <v>1.5025941349085319E-2</v>
      </c>
      <c r="Q379" s="8">
        <v>1.0408923717130318</v>
      </c>
      <c r="R379" s="3">
        <v>1.1548885689202055E-2</v>
      </c>
      <c r="S379" s="33">
        <v>0.17013409527144688</v>
      </c>
      <c r="T379" s="5">
        <v>69.400000000000006</v>
      </c>
      <c r="U379" s="34">
        <v>0.22799430000000001</v>
      </c>
      <c r="V379">
        <v>1.3312242595708099</v>
      </c>
    </row>
    <row r="380" spans="1:22" ht="16" x14ac:dyDescent="0.2">
      <c r="A380" s="2" t="s">
        <v>28</v>
      </c>
      <c r="B380" s="5">
        <v>2022</v>
      </c>
      <c r="C380" s="8">
        <v>2.1787875353916557</v>
      </c>
      <c r="D380" s="4">
        <v>1.088598481099434</v>
      </c>
      <c r="E380" s="6">
        <v>8.9270054068182111E-3</v>
      </c>
      <c r="F380" s="11">
        <v>0.97870000000000001</v>
      </c>
      <c r="G380" s="8">
        <v>52498.9</v>
      </c>
      <c r="H380" s="7">
        <v>96.826564419685042</v>
      </c>
      <c r="I380" s="4">
        <v>10487.404013679999</v>
      </c>
      <c r="J380" s="11">
        <v>1.7270000000000001</v>
      </c>
      <c r="K380" s="11">
        <v>63.811799999999998</v>
      </c>
      <c r="L380" s="7">
        <v>1</v>
      </c>
      <c r="M380" s="8">
        <v>315.05700000000002</v>
      </c>
      <c r="N380" s="8">
        <v>11.134594174602016</v>
      </c>
      <c r="O380" s="8">
        <v>3.63184202102775E-3</v>
      </c>
      <c r="P380" s="8">
        <v>1.2199937165871066E-2</v>
      </c>
      <c r="Q380" s="8">
        <v>1.291181404498783</v>
      </c>
      <c r="R380" s="3">
        <v>1.1491434529898514E-2</v>
      </c>
      <c r="S380" s="33">
        <v>7.9033467101142882E-2</v>
      </c>
      <c r="T380" s="5">
        <v>69.099999999999994</v>
      </c>
      <c r="U380" s="34">
        <v>0.16926596666666663</v>
      </c>
      <c r="V380">
        <v>1.4416644589652201</v>
      </c>
    </row>
    <row r="381" spans="1:22" x14ac:dyDescent="0.2">
      <c r="U381" s="34"/>
    </row>
    <row r="382" spans="1:22" ht="16" x14ac:dyDescent="0.2">
      <c r="A382" s="2" t="s">
        <v>29</v>
      </c>
      <c r="B382" s="5">
        <v>2014</v>
      </c>
      <c r="C382" s="8">
        <v>3.22</v>
      </c>
      <c r="D382" s="4">
        <v>16.178501527856604</v>
      </c>
      <c r="E382" s="6">
        <v>-0.11925207471092693</v>
      </c>
      <c r="F382" s="11">
        <v>1.0358000000000001</v>
      </c>
      <c r="G382" s="8">
        <v>5547755.7199999997</v>
      </c>
      <c r="H382" s="7">
        <v>19.814709838746211</v>
      </c>
      <c r="I382" s="4">
        <v>343077.7299341</v>
      </c>
      <c r="J382" s="11">
        <v>1.8875</v>
      </c>
      <c r="K382" s="11">
        <v>53.4499</v>
      </c>
      <c r="L382" s="7">
        <v>1</v>
      </c>
      <c r="M382" s="8">
        <v>400.53230000000002</v>
      </c>
      <c r="N382" s="8">
        <v>13.556517542385974</v>
      </c>
      <c r="O382" s="8">
        <v>5.9868167147007273E-3</v>
      </c>
      <c r="P382" s="8">
        <v>12.707181835549056</v>
      </c>
      <c r="Q382" s="8">
        <v>2.1850424009667275</v>
      </c>
      <c r="R382" s="3">
        <v>1.1512779453566198E-2</v>
      </c>
      <c r="S382" s="33">
        <v>-6.8982897117293038E-2</v>
      </c>
      <c r="T382" s="5">
        <v>71.099999999999994</v>
      </c>
      <c r="U382" s="34">
        <v>0.10778419166666668</v>
      </c>
      <c r="V382">
        <v>1.1093632928169199</v>
      </c>
    </row>
    <row r="383" spans="1:22" ht="16" x14ac:dyDescent="0.2">
      <c r="A383" s="2" t="s">
        <v>29</v>
      </c>
      <c r="B383" s="5">
        <v>2015</v>
      </c>
      <c r="C383" s="8">
        <v>3.54</v>
      </c>
      <c r="D383" s="4">
        <v>4.3756374899476125</v>
      </c>
      <c r="E383" s="6">
        <v>8.8991025137104135E-3</v>
      </c>
      <c r="F383" s="11">
        <v>1.0258</v>
      </c>
      <c r="G383" s="8">
        <v>5230591.8</v>
      </c>
      <c r="H383" s="7">
        <v>-5.7169770265227164</v>
      </c>
      <c r="I383" s="4">
        <v>139601.63173152</v>
      </c>
      <c r="J383" s="11">
        <v>1.6686000000000001</v>
      </c>
      <c r="K383" s="11">
        <v>43.583799999999997</v>
      </c>
      <c r="L383" s="7">
        <v>1</v>
      </c>
      <c r="M383" s="8">
        <v>407.64150000000001</v>
      </c>
      <c r="N383" s="8">
        <v>13.414844126966226</v>
      </c>
      <c r="O383" s="8">
        <v>6.5634416301202292E-3</v>
      </c>
      <c r="P383" s="8">
        <v>2.0585977143354047E-3</v>
      </c>
      <c r="Q383" s="8">
        <v>1.6694692546813137</v>
      </c>
      <c r="R383" s="3">
        <v>1.1814647595202968E-2</v>
      </c>
      <c r="S383" s="33">
        <v>-7.9729061071476787E-2</v>
      </c>
      <c r="T383" s="5">
        <v>70.900000000000006</v>
      </c>
      <c r="U383" s="34">
        <v>0.17763920833333333</v>
      </c>
      <c r="V383">
        <v>1.33109026245502</v>
      </c>
    </row>
    <row r="384" spans="1:22" ht="16" x14ac:dyDescent="0.2">
      <c r="A384" s="2" t="s">
        <v>29</v>
      </c>
      <c r="B384" s="5">
        <v>2016</v>
      </c>
      <c r="C384" s="8">
        <v>0.51</v>
      </c>
      <c r="D384" s="4">
        <v>1.4435767109160333</v>
      </c>
      <c r="E384" s="6">
        <v>7.6234080403465541E-3</v>
      </c>
      <c r="F384" s="11">
        <v>1.0331999999999999</v>
      </c>
      <c r="G384" s="8">
        <v>5389173.7599999998</v>
      </c>
      <c r="H384" s="7">
        <v>3.0318167821851434</v>
      </c>
      <c r="I384" s="4">
        <v>202484.6153946</v>
      </c>
      <c r="J384" s="11">
        <v>1.8782000000000001</v>
      </c>
      <c r="K384" s="11">
        <v>45.123899999999999</v>
      </c>
      <c r="L384" s="7">
        <v>1</v>
      </c>
      <c r="M384" s="8">
        <v>408.15940000000001</v>
      </c>
      <c r="N384" s="8">
        <v>13.296640788302986</v>
      </c>
      <c r="O384" s="8">
        <v>6.0682946221346607E-3</v>
      </c>
      <c r="P384" s="8">
        <v>3.1981397734243362E-2</v>
      </c>
      <c r="Q384" s="8">
        <v>1.6372243254334107</v>
      </c>
      <c r="R384" s="3">
        <v>1.1979613646167314E-2</v>
      </c>
      <c r="S384" s="33">
        <v>-0.10663373506009644</v>
      </c>
      <c r="T384" s="5">
        <v>69.900000000000006</v>
      </c>
      <c r="U384" s="34">
        <v>0.26206356666666669</v>
      </c>
      <c r="V384">
        <v>1.3452139760194699</v>
      </c>
    </row>
    <row r="385" spans="1:22" ht="16" x14ac:dyDescent="0.2">
      <c r="A385" s="2" t="s">
        <v>29</v>
      </c>
      <c r="B385" s="5">
        <v>2017</v>
      </c>
      <c r="C385" s="8">
        <v>3.5</v>
      </c>
      <c r="D385" s="4">
        <v>5.988720555528209</v>
      </c>
      <c r="E385" s="6">
        <v>-1.4086688215587569E-2</v>
      </c>
      <c r="F385" s="11">
        <v>1.0455000000000001</v>
      </c>
      <c r="G385" s="8">
        <v>223248.63</v>
      </c>
      <c r="H385" s="7">
        <v>-95.857460903246135</v>
      </c>
      <c r="I385" s="4">
        <v>135184.07582775</v>
      </c>
      <c r="J385" s="11">
        <v>1.8571</v>
      </c>
      <c r="K385" s="11">
        <v>43.908900000000003</v>
      </c>
      <c r="L385" s="7">
        <v>1</v>
      </c>
      <c r="M385" s="8">
        <v>411.13670000000002</v>
      </c>
      <c r="N385" s="8">
        <v>13.334447004614404</v>
      </c>
      <c r="O385" s="8">
        <v>5.9335712405838605E-3</v>
      </c>
      <c r="P385" s="8">
        <v>4.6678860223451427E-2</v>
      </c>
      <c r="Q385" s="8">
        <v>1.6419582214351056</v>
      </c>
      <c r="R385" s="3">
        <v>1.1880071462322001E-2</v>
      </c>
      <c r="S385" s="33">
        <v>9.9376978830331336E-2</v>
      </c>
      <c r="T385" s="5">
        <v>69.7</v>
      </c>
      <c r="U385" s="34">
        <v>0.38788858333333326</v>
      </c>
      <c r="V385">
        <v>1.3047580767159199</v>
      </c>
    </row>
    <row r="386" spans="1:22" ht="16" x14ac:dyDescent="0.2">
      <c r="A386" s="2" t="s">
        <v>29</v>
      </c>
      <c r="B386" s="5">
        <v>2018</v>
      </c>
      <c r="C386" s="8">
        <v>3.6</v>
      </c>
      <c r="D386" s="4">
        <v>4.4188080514531372</v>
      </c>
      <c r="E386" s="6">
        <v>2.9458675574959734E-3</v>
      </c>
      <c r="F386" s="11">
        <v>1.0323</v>
      </c>
      <c r="G386" s="8">
        <v>406298.72</v>
      </c>
      <c r="H386" s="7">
        <v>81.993824553369024</v>
      </c>
      <c r="I386" s="4">
        <v>110049.98317099999</v>
      </c>
      <c r="J386" s="11">
        <v>1.8636999999999999</v>
      </c>
      <c r="K386" s="11">
        <v>48.076700000000002</v>
      </c>
      <c r="L386" s="7">
        <v>1</v>
      </c>
      <c r="M386" s="8">
        <v>450.79109999999997</v>
      </c>
      <c r="N386" s="8">
        <v>13.276816842815977</v>
      </c>
      <c r="O386" s="8">
        <v>6.1470461632143116E-3</v>
      </c>
      <c r="P386" s="8">
        <v>4.5055612887241345E-2</v>
      </c>
      <c r="Q386" s="8">
        <v>1.7902380904276607</v>
      </c>
      <c r="R386" s="3">
        <v>1.2697149637756909E-2</v>
      </c>
      <c r="S386" s="33">
        <v>7.6744456043470993E-2</v>
      </c>
      <c r="T386" s="5">
        <v>69.900000000000006</v>
      </c>
      <c r="U386" s="34">
        <v>0.15196149166666664</v>
      </c>
      <c r="V386">
        <v>1.33841214646451</v>
      </c>
    </row>
    <row r="387" spans="1:22" ht="16" x14ac:dyDescent="0.2">
      <c r="A387" s="2" t="s">
        <v>29</v>
      </c>
      <c r="B387" s="5">
        <v>2019</v>
      </c>
      <c r="C387" s="8">
        <v>3.06</v>
      </c>
      <c r="D387" s="4">
        <v>4.5768715366792616</v>
      </c>
      <c r="E387" s="6">
        <v>-3.3202527303657337E-3</v>
      </c>
      <c r="F387" s="11">
        <v>1.0375000000000001</v>
      </c>
      <c r="G387" s="8">
        <v>431610.53</v>
      </c>
      <c r="H387" s="7">
        <v>6.22985226239454</v>
      </c>
      <c r="I387" s="4">
        <v>132620.3118464</v>
      </c>
      <c r="J387" s="11">
        <v>1.7897000000000001</v>
      </c>
      <c r="K387" s="11">
        <v>45.2256</v>
      </c>
      <c r="L387" s="7">
        <v>1</v>
      </c>
      <c r="M387" s="8">
        <v>435.5514</v>
      </c>
      <c r="N387" s="8">
        <v>13.256263433664062</v>
      </c>
      <c r="O387" s="8">
        <v>6.5917461197432933E-3</v>
      </c>
      <c r="P387" s="8">
        <v>5.2149495832962314E-2</v>
      </c>
      <c r="Q387" s="8">
        <v>1.8740563173143061</v>
      </c>
      <c r="R387" s="3">
        <v>1.2753422437073348E-2</v>
      </c>
      <c r="S387" s="33">
        <v>-2.5238976941071883E-2</v>
      </c>
      <c r="T387" s="5">
        <v>69.400000000000006</v>
      </c>
      <c r="U387" s="34">
        <v>0.21756721666666667</v>
      </c>
      <c r="V387">
        <v>1.4385065442138201</v>
      </c>
    </row>
    <row r="388" spans="1:22" ht="16" x14ac:dyDescent="0.2">
      <c r="A388" s="2" t="s">
        <v>29</v>
      </c>
      <c r="B388" s="5">
        <v>2020</v>
      </c>
      <c r="C388" s="8">
        <v>1.75</v>
      </c>
      <c r="D388" s="4">
        <v>2.7243072550434495</v>
      </c>
      <c r="E388" s="6">
        <v>2.1145614167957138E-2</v>
      </c>
      <c r="F388" s="11">
        <v>0.99880000000000002</v>
      </c>
      <c r="G388" s="8">
        <v>291071.89</v>
      </c>
      <c r="H388" s="7">
        <v>-32.561448396543987</v>
      </c>
      <c r="I388" s="4">
        <v>132236.8484472</v>
      </c>
      <c r="J388" s="11">
        <v>1.7799</v>
      </c>
      <c r="K388" s="11">
        <v>52.0916</v>
      </c>
      <c r="L388" s="7">
        <v>1</v>
      </c>
      <c r="M388" s="8">
        <v>370.24950000000001</v>
      </c>
      <c r="N388" s="8">
        <v>13.3397524216566</v>
      </c>
      <c r="O388" s="8">
        <v>1.0214173078491611E-2</v>
      </c>
      <c r="P388" s="8">
        <v>6.7851571066309582E-2</v>
      </c>
      <c r="Q388" s="8">
        <v>1.7884950376859692</v>
      </c>
      <c r="R388" s="3">
        <v>1.1714387683020643E-2</v>
      </c>
      <c r="S388" s="33">
        <v>-4.6884808953549767E-2</v>
      </c>
      <c r="T388" s="5">
        <v>68.3</v>
      </c>
      <c r="U388" s="34">
        <v>0.20738910833333335</v>
      </c>
      <c r="V388">
        <v>1.4530851184701601</v>
      </c>
    </row>
    <row r="389" spans="1:22" ht="16" x14ac:dyDescent="0.2">
      <c r="A389" s="2" t="s">
        <v>29</v>
      </c>
      <c r="B389" s="5">
        <v>2021</v>
      </c>
      <c r="C389" s="8">
        <v>3.68</v>
      </c>
      <c r="D389" s="4">
        <v>-0.4712316972471009</v>
      </c>
      <c r="E389" s="6">
        <v>5.4187561103374006E-2</v>
      </c>
      <c r="F389" s="11">
        <v>1.0306999999999999</v>
      </c>
      <c r="G389" s="8">
        <v>349573.39</v>
      </c>
      <c r="H389" s="7">
        <v>20.098642984727931</v>
      </c>
      <c r="I389" s="4">
        <v>90433.757271359995</v>
      </c>
      <c r="J389" s="11">
        <v>1.7149000000000001</v>
      </c>
      <c r="K389" s="11">
        <v>45.055599999999998</v>
      </c>
      <c r="L389" s="7">
        <v>1</v>
      </c>
      <c r="M389" s="8">
        <v>397.80340000000001</v>
      </c>
      <c r="N389" s="8">
        <v>13.411894816323271</v>
      </c>
      <c r="O389" s="8">
        <v>8.256070710667111E-3</v>
      </c>
      <c r="P389" s="8">
        <v>3.2974960788723119E-2</v>
      </c>
      <c r="Q389" s="8">
        <v>0.46768857544882969</v>
      </c>
      <c r="R389" s="3">
        <v>1.148274240779956E-2</v>
      </c>
      <c r="S389" s="33">
        <v>0.17013409527144688</v>
      </c>
      <c r="T389" s="5">
        <v>69.400000000000006</v>
      </c>
      <c r="U389" s="34">
        <v>0.22799430000000001</v>
      </c>
      <c r="V389">
        <v>1.3312242595708099</v>
      </c>
    </row>
    <row r="390" spans="1:22" ht="16" x14ac:dyDescent="0.2">
      <c r="A390" s="2" t="s">
        <v>29</v>
      </c>
      <c r="B390" s="5">
        <v>2022</v>
      </c>
      <c r="C390" s="8">
        <v>3.56</v>
      </c>
      <c r="D390" s="4">
        <v>4.6388745028408289</v>
      </c>
      <c r="E390" s="6">
        <v>5.8416318900711417E-3</v>
      </c>
      <c r="F390" s="11">
        <v>1.03</v>
      </c>
      <c r="G390" s="8">
        <v>423934.84</v>
      </c>
      <c r="H390" s="7">
        <v>21.272056777548201</v>
      </c>
      <c r="I390" s="4">
        <v>66148.486755000005</v>
      </c>
      <c r="J390" s="11">
        <v>1.6515</v>
      </c>
      <c r="K390" s="11">
        <v>44.552500000000002</v>
      </c>
      <c r="L390" s="7">
        <v>1</v>
      </c>
      <c r="M390" s="8">
        <v>456.64389999999997</v>
      </c>
      <c r="N390" s="8">
        <v>13.42756019429606</v>
      </c>
      <c r="O390" s="8">
        <v>7.3757458168609309E-3</v>
      </c>
      <c r="P390" s="8">
        <v>5.1982765119567696E-2</v>
      </c>
      <c r="Q390" s="8">
        <v>0.77360427396223641</v>
      </c>
      <c r="R390" s="3">
        <v>1.1141835355941132E-2</v>
      </c>
      <c r="S390" s="33">
        <v>7.9033467101142882E-2</v>
      </c>
      <c r="T390" s="5">
        <v>69.099999999999994</v>
      </c>
      <c r="U390" s="34">
        <v>0.16926596666666663</v>
      </c>
      <c r="V390">
        <v>1.4416644589652201</v>
      </c>
    </row>
    <row r="391" spans="1:22" x14ac:dyDescent="0.2">
      <c r="U391" s="34"/>
    </row>
    <row r="392" spans="1:22" ht="16" x14ac:dyDescent="0.2">
      <c r="A392" s="2" t="s">
        <v>30</v>
      </c>
      <c r="B392" s="5">
        <v>2014</v>
      </c>
      <c r="C392" s="8">
        <v>4.5255570290838403</v>
      </c>
      <c r="D392" s="4">
        <v>4.4264377088382556</v>
      </c>
      <c r="E392" s="6">
        <v>4.459992724362781</v>
      </c>
      <c r="F392" s="11">
        <v>1.0663</v>
      </c>
      <c r="G392" s="8">
        <v>3111750.71</v>
      </c>
      <c r="H392" s="7">
        <v>23.162253169226176</v>
      </c>
      <c r="I392" s="4">
        <v>177348.80603667998</v>
      </c>
      <c r="J392" s="11">
        <v>2.0935999999999999</v>
      </c>
      <c r="K392" s="11">
        <v>42.87</v>
      </c>
      <c r="L392" s="7">
        <v>1</v>
      </c>
      <c r="M392" s="8">
        <v>407.36360000000002</v>
      </c>
      <c r="N392" s="8">
        <v>13.420334940415845</v>
      </c>
      <c r="O392" s="8">
        <v>5.4377257864394457E-3</v>
      </c>
      <c r="P392" s="8">
        <v>3.038414861888334E-2</v>
      </c>
      <c r="Q392" s="8">
        <v>1.7417132257091541</v>
      </c>
      <c r="R392" s="3">
        <v>1.266251185583497E-2</v>
      </c>
      <c r="S392" s="33">
        <v>-6.8982897117293038E-2</v>
      </c>
      <c r="T392" s="5">
        <v>71.099999999999994</v>
      </c>
      <c r="U392" s="34">
        <v>0.10778419166666668</v>
      </c>
      <c r="V392">
        <v>1.1093632928169199</v>
      </c>
    </row>
    <row r="393" spans="1:22" ht="16" x14ac:dyDescent="0.2">
      <c r="A393" s="2" t="s">
        <v>30</v>
      </c>
      <c r="B393" s="5">
        <v>2015</v>
      </c>
      <c r="C393" s="8">
        <v>4.4601485710885651</v>
      </c>
      <c r="D393" s="4">
        <v>1.3165269454281716</v>
      </c>
      <c r="E393" s="6">
        <v>1.3121280558975725</v>
      </c>
      <c r="F393" s="11">
        <v>1.0510999999999999</v>
      </c>
      <c r="G393" s="8">
        <v>2756007</v>
      </c>
      <c r="H393" s="7">
        <v>-11.432268942906418</v>
      </c>
      <c r="I393" s="4">
        <v>111707.62342824</v>
      </c>
      <c r="J393" s="11">
        <v>2.0880999999999998</v>
      </c>
      <c r="K393" s="11">
        <v>43.781500000000001</v>
      </c>
      <c r="L393" s="7">
        <v>1</v>
      </c>
      <c r="M393" s="8">
        <v>394.78989999999999</v>
      </c>
      <c r="N393" s="8">
        <v>13.252770777642013</v>
      </c>
      <c r="O393" s="8">
        <v>4.8344040974288884E-3</v>
      </c>
      <c r="P393" s="8">
        <v>1.6431953197707735E-2</v>
      </c>
      <c r="Q393" s="8">
        <v>1.5798790620203966</v>
      </c>
      <c r="R393" s="3">
        <v>1.3177087417140082E-2</v>
      </c>
      <c r="S393" s="33">
        <v>-7.9729061071476787E-2</v>
      </c>
      <c r="T393" s="5">
        <v>70.900000000000006</v>
      </c>
      <c r="U393" s="34">
        <v>0.17763920833333333</v>
      </c>
      <c r="V393">
        <v>1.33109026245502</v>
      </c>
    </row>
    <row r="394" spans="1:22" ht="16" x14ac:dyDescent="0.2">
      <c r="A394" s="2" t="s">
        <v>30</v>
      </c>
      <c r="B394" s="5">
        <v>2016</v>
      </c>
      <c r="C394" s="8">
        <v>4.0150120749192482</v>
      </c>
      <c r="D394" s="4">
        <v>9.3145562274322247E-2</v>
      </c>
      <c r="E394" s="6">
        <v>7.6598031367526395E-2</v>
      </c>
      <c r="F394" s="11">
        <v>1.0481</v>
      </c>
      <c r="G394" s="8">
        <v>3338732.79</v>
      </c>
      <c r="H394" s="7">
        <v>21.143842885740131</v>
      </c>
      <c r="I394" s="4">
        <v>141863.55666755998</v>
      </c>
      <c r="J394" s="11">
        <v>2.0994999999999999</v>
      </c>
      <c r="K394" s="11">
        <v>43.984699999999997</v>
      </c>
      <c r="L394" s="7">
        <v>1</v>
      </c>
      <c r="M394" s="8">
        <v>358.65320000000003</v>
      </c>
      <c r="N394" s="8">
        <v>13.374025178277723</v>
      </c>
      <c r="O394" s="8">
        <v>5.0055918323171833E-3</v>
      </c>
      <c r="P394" s="8">
        <v>1.8088715384553714E-2</v>
      </c>
      <c r="Q394" s="8">
        <v>1.5709440274823898</v>
      </c>
      <c r="R394" s="3">
        <v>1.2966150624201771E-2</v>
      </c>
      <c r="S394" s="33">
        <v>-0.10663373506009644</v>
      </c>
      <c r="T394" s="5">
        <v>69.900000000000006</v>
      </c>
      <c r="U394" s="34">
        <v>0.26206356666666669</v>
      </c>
      <c r="V394">
        <v>1.3452139760194699</v>
      </c>
    </row>
    <row r="395" spans="1:22" ht="16" x14ac:dyDescent="0.2">
      <c r="A395" s="2" t="s">
        <v>30</v>
      </c>
      <c r="B395" s="5">
        <v>2017</v>
      </c>
      <c r="C395" s="8">
        <v>4.2051271897099713</v>
      </c>
      <c r="D395" s="4">
        <v>3.342399096626234</v>
      </c>
      <c r="E395" s="6">
        <v>3.3646336899788842</v>
      </c>
      <c r="F395" s="11">
        <v>1.0548999999999999</v>
      </c>
      <c r="G395" s="8">
        <v>3289727.7</v>
      </c>
      <c r="H395" s="7">
        <v>-1.4677751435148498</v>
      </c>
      <c r="I395" s="4">
        <v>120899.8889375</v>
      </c>
      <c r="J395" s="11">
        <v>2.0628000000000002</v>
      </c>
      <c r="K395" s="11">
        <v>43.305</v>
      </c>
      <c r="L395" s="7">
        <v>1</v>
      </c>
      <c r="M395" s="8">
        <v>345.57889999999998</v>
      </c>
      <c r="N395" s="8">
        <v>13.411976365687673</v>
      </c>
      <c r="O395" s="8">
        <v>4.166999861875441E-3</v>
      </c>
      <c r="P395" s="8">
        <v>1.9240362587946817E-2</v>
      </c>
      <c r="Q395" s="8">
        <v>1.3668464053901181</v>
      </c>
      <c r="R395" s="3">
        <v>1.2889749908894346E-2</v>
      </c>
      <c r="S395" s="33">
        <v>9.9376978830331336E-2</v>
      </c>
      <c r="T395" s="5">
        <v>69.7</v>
      </c>
      <c r="U395" s="34">
        <v>0.38788858333333326</v>
      </c>
      <c r="V395">
        <v>1.3047580767159199</v>
      </c>
    </row>
    <row r="396" spans="1:22" ht="16" x14ac:dyDescent="0.2">
      <c r="A396" s="2" t="s">
        <v>30</v>
      </c>
      <c r="B396" s="5">
        <v>2018</v>
      </c>
      <c r="C396" s="8">
        <v>4.1695853804985834</v>
      </c>
      <c r="D396" s="4">
        <v>1.0258581083850054</v>
      </c>
      <c r="E396" s="6">
        <v>1.0237703459826542</v>
      </c>
      <c r="F396" s="11">
        <v>1.0355000000000001</v>
      </c>
      <c r="G396" s="8">
        <v>3281783.11</v>
      </c>
      <c r="H396" s="7">
        <v>-0.24149688741716574</v>
      </c>
      <c r="I396" s="4">
        <v>102457.95473200001</v>
      </c>
      <c r="J396" s="11">
        <v>2.1301999999999999</v>
      </c>
      <c r="K396" s="11">
        <v>43.247900000000001</v>
      </c>
      <c r="L396" s="7">
        <v>1</v>
      </c>
      <c r="M396" s="8">
        <v>328.76740000000001</v>
      </c>
      <c r="N396" s="8">
        <v>13.363558709667583</v>
      </c>
      <c r="O396" s="8">
        <v>3.9494515118511618E-3</v>
      </c>
      <c r="P396" s="8">
        <v>2.8087408220546912E-2</v>
      </c>
      <c r="Q396" s="8">
        <v>1.3683672588407447</v>
      </c>
      <c r="R396" s="3">
        <v>1.2739550142530169E-2</v>
      </c>
      <c r="S396" s="33">
        <v>7.6744456043470993E-2</v>
      </c>
      <c r="T396" s="5">
        <v>69.900000000000006</v>
      </c>
      <c r="U396" s="34">
        <v>0.15196149166666664</v>
      </c>
      <c r="V396">
        <v>1.33841214646451</v>
      </c>
    </row>
    <row r="397" spans="1:22" ht="16" x14ac:dyDescent="0.2">
      <c r="A397" s="2" t="s">
        <v>30</v>
      </c>
      <c r="B397" s="5">
        <v>2019</v>
      </c>
      <c r="C397" s="8">
        <v>3.4395496197902333</v>
      </c>
      <c r="D397" s="4">
        <v>1.3997149811610397</v>
      </c>
      <c r="E397" s="6">
        <v>1.4005884567556706</v>
      </c>
      <c r="F397" s="11">
        <v>1.0417000000000001</v>
      </c>
      <c r="G397" s="8">
        <v>214260.53</v>
      </c>
      <c r="H397" s="7">
        <v>-93.471216018294399</v>
      </c>
      <c r="I397" s="4">
        <v>118993.3932236</v>
      </c>
      <c r="J397" s="11">
        <v>2.117</v>
      </c>
      <c r="K397" s="11">
        <v>48.8874</v>
      </c>
      <c r="L397" s="7">
        <v>1</v>
      </c>
      <c r="M397" s="8">
        <v>354.92079999999999</v>
      </c>
      <c r="N397" s="8">
        <v>13.324146367346646</v>
      </c>
      <c r="O397" s="8">
        <v>5.0224255197124628E-3</v>
      </c>
      <c r="P397" s="8">
        <v>1.9519894231735637E-2</v>
      </c>
      <c r="Q397" s="8">
        <v>1.6695661036441223</v>
      </c>
      <c r="R397" s="3">
        <v>1.275423040318603E-2</v>
      </c>
      <c r="S397" s="33">
        <v>-2.5238976941071883E-2</v>
      </c>
      <c r="T397" s="5">
        <v>69.400000000000006</v>
      </c>
      <c r="U397" s="34">
        <v>0.21756721666666667</v>
      </c>
      <c r="V397">
        <v>1.4385065442138201</v>
      </c>
    </row>
    <row r="398" spans="1:22" ht="16" x14ac:dyDescent="0.2">
      <c r="A398" s="2" t="s">
        <v>30</v>
      </c>
      <c r="B398" s="5">
        <v>2020</v>
      </c>
      <c r="C398" s="8">
        <v>1.3497934235651912</v>
      </c>
      <c r="D398" s="4">
        <v>0.89619511185715894</v>
      </c>
      <c r="E398" s="6">
        <v>0.87429730947080408</v>
      </c>
      <c r="F398" s="11">
        <v>0.99199999999999999</v>
      </c>
      <c r="G398" s="8">
        <v>223780.72</v>
      </c>
      <c r="H398" s="7">
        <v>4.4432775369313244</v>
      </c>
      <c r="I398" s="4">
        <v>199260.53842002002</v>
      </c>
      <c r="J398" s="11">
        <v>2.032</v>
      </c>
      <c r="K398" s="11">
        <v>63.0456</v>
      </c>
      <c r="L398" s="7">
        <v>1</v>
      </c>
      <c r="M398" s="8">
        <v>316.12509999999997</v>
      </c>
      <c r="N398" s="8">
        <v>13.390796078683532</v>
      </c>
      <c r="O398" s="8">
        <v>8.0181948040609109E-3</v>
      </c>
      <c r="P398" s="8">
        <v>2.7888094472004497E-2</v>
      </c>
      <c r="Q398" s="8">
        <v>2.4133831166745976</v>
      </c>
      <c r="R398" s="3">
        <v>1.1819061479086523E-2</v>
      </c>
      <c r="S398" s="33">
        <v>-4.6884808953549767E-2</v>
      </c>
      <c r="T398" s="5">
        <v>68.3</v>
      </c>
      <c r="U398" s="34">
        <v>0.20738910833333335</v>
      </c>
      <c r="V398">
        <v>1.4530851184701601</v>
      </c>
    </row>
    <row r="399" spans="1:22" ht="16" x14ac:dyDescent="0.2">
      <c r="A399" s="2" t="s">
        <v>30</v>
      </c>
      <c r="B399" s="5">
        <v>2021</v>
      </c>
      <c r="C399" s="8">
        <v>2.7609372251599242</v>
      </c>
      <c r="D399" s="4">
        <v>-10.517982192399364</v>
      </c>
      <c r="E399" s="6">
        <v>-10.638447133115458</v>
      </c>
      <c r="F399" s="11">
        <v>1.0247999999999999</v>
      </c>
      <c r="G399" s="8">
        <v>230584.22</v>
      </c>
      <c r="H399" s="7">
        <v>3.0402529762170754</v>
      </c>
      <c r="I399" s="4">
        <v>154518.50553488999</v>
      </c>
      <c r="J399" s="11">
        <v>2.0577000000000001</v>
      </c>
      <c r="K399" s="11">
        <v>62.698999999999998</v>
      </c>
      <c r="L399" s="7">
        <v>1</v>
      </c>
      <c r="M399" s="8">
        <v>288.73520000000002</v>
      </c>
      <c r="N399" s="8">
        <v>13.422539197095725</v>
      </c>
      <c r="O399" s="8">
        <v>6.4238150098058023E-3</v>
      </c>
      <c r="P399" s="8">
        <v>6.7211656973054174E-2</v>
      </c>
      <c r="Q399" s="8">
        <v>0.63697261563488472</v>
      </c>
      <c r="R399" s="3">
        <v>1.1394322315203324E-2</v>
      </c>
      <c r="S399" s="33">
        <v>0.17013409527144688</v>
      </c>
      <c r="T399" s="5">
        <v>69.400000000000006</v>
      </c>
      <c r="U399" s="34">
        <v>0.22799430000000001</v>
      </c>
      <c r="V399">
        <v>1.3312242595708099</v>
      </c>
    </row>
    <row r="400" spans="1:22" ht="16" x14ac:dyDescent="0.2">
      <c r="A400" s="2" t="s">
        <v>30</v>
      </c>
      <c r="B400" s="5">
        <v>2022</v>
      </c>
      <c r="C400" s="8">
        <v>2.7021835032692705</v>
      </c>
      <c r="D400" s="4">
        <v>0.63754470703869981</v>
      </c>
      <c r="E400" s="6">
        <v>0.62637178932117998</v>
      </c>
      <c r="F400" s="11">
        <v>1.0017</v>
      </c>
      <c r="G400" s="8">
        <v>208100.55</v>
      </c>
      <c r="H400" s="7">
        <v>-9.7507409657087614</v>
      </c>
      <c r="I400" s="4">
        <v>97362.906580199997</v>
      </c>
      <c r="J400" s="11">
        <v>1.9352</v>
      </c>
      <c r="K400" s="11">
        <v>55.075699999999998</v>
      </c>
      <c r="L400" s="7">
        <v>1</v>
      </c>
      <c r="M400" s="8">
        <v>329.71960000000001</v>
      </c>
      <c r="N400" s="8">
        <v>13.387998155598961</v>
      </c>
      <c r="O400" s="8">
        <v>5.6543429951885658E-3</v>
      </c>
      <c r="P400" s="8">
        <v>9.3280272323412225E-2</v>
      </c>
      <c r="Q400" s="8">
        <v>0.71849929315043615</v>
      </c>
      <c r="R400" s="3">
        <v>1.1285388015660668E-2</v>
      </c>
      <c r="S400" s="33">
        <v>7.9033467101142882E-2</v>
      </c>
      <c r="T400" s="5">
        <v>69.099999999999994</v>
      </c>
      <c r="U400" s="34">
        <v>0.16926596666666663</v>
      </c>
      <c r="V400">
        <v>1.4416644589652201</v>
      </c>
    </row>
    <row r="401" spans="1:22" x14ac:dyDescent="0.2">
      <c r="A401" s="2"/>
      <c r="C401" s="8"/>
      <c r="D401" s="4"/>
      <c r="E401" s="6"/>
      <c r="F401" s="11"/>
      <c r="G401" s="8"/>
      <c r="I401" s="4"/>
      <c r="J401" s="11"/>
      <c r="K401" s="11"/>
      <c r="L401" s="7"/>
      <c r="M401" s="8"/>
      <c r="N401" s="8"/>
      <c r="O401" s="8"/>
      <c r="P401" s="8"/>
      <c r="Q401" s="8"/>
      <c r="R401" s="3"/>
      <c r="U401" s="34"/>
    </row>
    <row r="402" spans="1:22" ht="16" x14ac:dyDescent="0.2">
      <c r="A402" s="2" t="s">
        <v>95</v>
      </c>
      <c r="B402" s="5">
        <v>2014</v>
      </c>
      <c r="C402" s="4">
        <v>7.631799007491094</v>
      </c>
      <c r="D402" s="4">
        <v>-2.3860257081610294</v>
      </c>
      <c r="E402" s="13">
        <v>3.6800742511315099E-2</v>
      </c>
      <c r="F402" s="4">
        <v>1.0335000000000001</v>
      </c>
      <c r="G402" s="4">
        <v>3163.9</v>
      </c>
      <c r="H402" s="7">
        <v>-75.605656520797154</v>
      </c>
      <c r="I402" s="10">
        <v>107265.81102676461</v>
      </c>
      <c r="J402" s="4">
        <v>2.4817</v>
      </c>
      <c r="K402" s="4">
        <v>64.468900000000005</v>
      </c>
      <c r="L402" s="7">
        <v>1</v>
      </c>
      <c r="M402" s="4">
        <v>199.37299999999999</v>
      </c>
      <c r="N402" s="4">
        <v>8.1170160871384756</v>
      </c>
      <c r="O402" s="4">
        <v>2.7066111097415017E-4</v>
      </c>
      <c r="P402" s="4">
        <v>1.6323452889545103E-2</v>
      </c>
      <c r="Q402" s="4">
        <v>2.2477759360476703</v>
      </c>
      <c r="R402" s="3">
        <v>1.1349298487660526E-2</v>
      </c>
      <c r="S402" s="33">
        <v>-6.8982897117293038E-2</v>
      </c>
      <c r="T402" s="5">
        <v>71.099999999999994</v>
      </c>
      <c r="U402" s="34">
        <v>0.10778419166666668</v>
      </c>
      <c r="V402">
        <v>1.1093632928169199</v>
      </c>
    </row>
    <row r="403" spans="1:22" ht="16" x14ac:dyDescent="0.2">
      <c r="A403" s="2" t="s">
        <v>95</v>
      </c>
      <c r="B403" s="5">
        <v>2015</v>
      </c>
      <c r="C403" s="4">
        <v>7.800885911916259</v>
      </c>
      <c r="D403" s="4">
        <v>2.4391112914918445</v>
      </c>
      <c r="E403" s="13">
        <v>-8.2045849926550788E-3</v>
      </c>
      <c r="F403" s="4">
        <v>1.0315000000000001</v>
      </c>
      <c r="G403" s="4">
        <v>3010.08</v>
      </c>
      <c r="H403" s="7">
        <v>-4.8617212933405023</v>
      </c>
      <c r="I403" s="10">
        <v>67883.088285119113</v>
      </c>
      <c r="J403" s="4">
        <v>2.2894999999999999</v>
      </c>
      <c r="K403" s="4">
        <v>62.728200000000001</v>
      </c>
      <c r="L403" s="7">
        <v>1</v>
      </c>
      <c r="M403" s="4">
        <v>286.28680000000003</v>
      </c>
      <c r="N403" s="4">
        <v>8.0535148910319414</v>
      </c>
      <c r="O403" s="4">
        <v>1.8640759505563625E-4</v>
      </c>
      <c r="P403" s="4">
        <v>1.6217096425551619E-2</v>
      </c>
      <c r="Q403" s="4">
        <v>1.9943963625693637</v>
      </c>
      <c r="R403" s="3">
        <v>1.2108028893137798E-2</v>
      </c>
      <c r="S403" s="33">
        <v>-7.9729061071476787E-2</v>
      </c>
      <c r="T403" s="5">
        <v>70.900000000000006</v>
      </c>
      <c r="U403" s="34">
        <v>0.17763920833333333</v>
      </c>
      <c r="V403">
        <v>1.33109026245502</v>
      </c>
    </row>
    <row r="404" spans="1:22" ht="16" x14ac:dyDescent="0.2">
      <c r="A404" s="2" t="s">
        <v>95</v>
      </c>
      <c r="B404" s="5">
        <v>2016</v>
      </c>
      <c r="C404" s="4">
        <v>6.2077688680194072</v>
      </c>
      <c r="D404" s="4">
        <v>9.1809143276595749E-3</v>
      </c>
      <c r="E404" s="13">
        <v>1.5616232531699576E-2</v>
      </c>
      <c r="F404" s="4">
        <v>1.0138</v>
      </c>
      <c r="G404" s="4">
        <v>3056.29</v>
      </c>
      <c r="H404" s="7">
        <v>1.53517514484665</v>
      </c>
      <c r="I404" s="10">
        <v>85899.532476645807</v>
      </c>
      <c r="J404" s="4">
        <v>2.1829000000000001</v>
      </c>
      <c r="K404" s="4">
        <v>66.707700000000003</v>
      </c>
      <c r="L404" s="7">
        <v>1</v>
      </c>
      <c r="M404" s="4">
        <v>279.18450000000001</v>
      </c>
      <c r="N404" s="4">
        <v>8.0980805580468562</v>
      </c>
      <c r="O404" s="4">
        <v>2.7379856501612596E-4</v>
      </c>
      <c r="P404" s="4">
        <v>1.8156102704054981E-2</v>
      </c>
      <c r="Q404" s="4">
        <v>2.2983922421424303</v>
      </c>
      <c r="R404" s="3">
        <v>1.1844706764058046E-2</v>
      </c>
      <c r="S404" s="33">
        <v>-0.10663373506009644</v>
      </c>
      <c r="T404" s="5">
        <v>69.900000000000006</v>
      </c>
      <c r="U404" s="34">
        <v>0.26206356666666669</v>
      </c>
      <c r="V404">
        <v>1.3452139760194699</v>
      </c>
    </row>
    <row r="405" spans="1:22" ht="16" x14ac:dyDescent="0.2">
      <c r="A405" s="2" t="s">
        <v>95</v>
      </c>
      <c r="B405" s="5">
        <v>2017</v>
      </c>
      <c r="C405" s="4">
        <v>5.9843734981385177</v>
      </c>
      <c r="D405" s="4">
        <v>15.618080888597634</v>
      </c>
      <c r="E405" s="13">
        <v>-0.14226934720484988</v>
      </c>
      <c r="F405" s="4">
        <v>1.0235000000000001</v>
      </c>
      <c r="G405" s="4">
        <v>3687.52</v>
      </c>
      <c r="H405" s="7">
        <v>20.653472019998105</v>
      </c>
      <c r="I405" s="10">
        <v>74232.005288864748</v>
      </c>
      <c r="J405" s="4">
        <v>1.9637</v>
      </c>
      <c r="K405" s="4">
        <v>66.105500000000006</v>
      </c>
      <c r="L405" s="7">
        <v>1</v>
      </c>
      <c r="M405" s="4">
        <v>331.6583</v>
      </c>
      <c r="N405" s="4">
        <v>8.2348950794035662</v>
      </c>
      <c r="O405" s="4">
        <v>2.2342105123131665E-4</v>
      </c>
      <c r="P405" s="4">
        <v>1.3102599213531071E-2</v>
      </c>
      <c r="Q405" s="4">
        <v>2.2275644447235394</v>
      </c>
      <c r="R405" s="3">
        <v>1.2058854793338685E-2</v>
      </c>
      <c r="S405" s="33">
        <v>9.9376978830331336E-2</v>
      </c>
      <c r="T405" s="5">
        <v>69.7</v>
      </c>
      <c r="U405" s="34">
        <v>0.38788858333333326</v>
      </c>
      <c r="V405">
        <v>1.3047580767159199</v>
      </c>
    </row>
    <row r="406" spans="1:22" ht="16" x14ac:dyDescent="0.2">
      <c r="A406" s="2" t="s">
        <v>95</v>
      </c>
      <c r="B406" s="5">
        <v>2018</v>
      </c>
      <c r="C406" s="4">
        <v>5.7979290656706297</v>
      </c>
      <c r="D406" s="4">
        <v>1.3333317814035419</v>
      </c>
      <c r="E406" s="13">
        <v>6.0877288136179436E-4</v>
      </c>
      <c r="F406" s="4">
        <v>1.0246999999999999</v>
      </c>
      <c r="G406" s="4">
        <v>3762.29</v>
      </c>
      <c r="H406" s="7">
        <v>2.0276500195253173</v>
      </c>
      <c r="I406" s="10">
        <v>63240.081088714913</v>
      </c>
      <c r="J406" s="4">
        <v>1.8384</v>
      </c>
      <c r="K406" s="4">
        <v>63.032699999999998</v>
      </c>
      <c r="L406" s="7">
        <v>1</v>
      </c>
      <c r="M406" s="4">
        <v>375.72489999999999</v>
      </c>
      <c r="N406" s="4">
        <v>8.2483838238206797</v>
      </c>
      <c r="O406" s="4">
        <v>1.2725194246565271E-4</v>
      </c>
      <c r="P406" s="4">
        <v>1.3136393155185526E-2</v>
      </c>
      <c r="Q406" s="4">
        <v>2.2092876951890643</v>
      </c>
      <c r="R406" s="3">
        <v>1.259574468259738E-2</v>
      </c>
      <c r="S406" s="33">
        <v>7.6744456043470993E-2</v>
      </c>
      <c r="T406" s="5">
        <v>69.900000000000006</v>
      </c>
      <c r="U406" s="34">
        <v>0.15196149166666664</v>
      </c>
      <c r="V406">
        <v>1.33841214646451</v>
      </c>
    </row>
    <row r="407" spans="1:22" ht="16" x14ac:dyDescent="0.2">
      <c r="A407" s="2" t="s">
        <v>95</v>
      </c>
      <c r="B407" s="5">
        <v>2019</v>
      </c>
      <c r="C407" s="4">
        <v>5.2959959775012333</v>
      </c>
      <c r="D407" s="4">
        <v>0.48236717738585627</v>
      </c>
      <c r="E407" s="13">
        <v>8.2729693187203416E-3</v>
      </c>
      <c r="F407" s="4">
        <v>1.0137</v>
      </c>
      <c r="G407" s="4">
        <v>3976.6419999999998</v>
      </c>
      <c r="H407" s="7">
        <v>5.6973811162882146</v>
      </c>
      <c r="I407" s="10">
        <v>74083.148927157992</v>
      </c>
      <c r="J407" s="4">
        <v>1.6974</v>
      </c>
      <c r="K407" s="4">
        <v>64.772400000000005</v>
      </c>
      <c r="L407" s="7">
        <v>1</v>
      </c>
      <c r="M407" s="4">
        <v>419.98719999999997</v>
      </c>
      <c r="N407" s="4">
        <v>8.295374162534781</v>
      </c>
      <c r="O407" s="4">
        <v>4.6761358370343809E-4</v>
      </c>
      <c r="P407" s="4">
        <v>1.4031402778757036E-2</v>
      </c>
      <c r="Q407" s="4">
        <v>2.6447718497085178</v>
      </c>
      <c r="R407" s="3">
        <v>1.2656858753912089E-2</v>
      </c>
      <c r="S407" s="33">
        <v>-2.5238976941071883E-2</v>
      </c>
      <c r="T407" s="5">
        <v>69.400000000000006</v>
      </c>
      <c r="U407" s="34">
        <v>0.21756721666666667</v>
      </c>
      <c r="V407">
        <v>1.4385065442138201</v>
      </c>
    </row>
    <row r="408" spans="1:22" ht="16" x14ac:dyDescent="0.2">
      <c r="A408" s="2" t="s">
        <v>95</v>
      </c>
      <c r="B408" s="5">
        <v>2020</v>
      </c>
      <c r="C408" s="4">
        <v>4.7639537558414879</v>
      </c>
      <c r="D408" s="4">
        <v>1.0029652497682233</v>
      </c>
      <c r="E408" s="13">
        <v>1.8933465101113808E-2</v>
      </c>
      <c r="F408" s="4">
        <v>1.0038</v>
      </c>
      <c r="G408" s="4">
        <v>4033.62</v>
      </c>
      <c r="H408" s="7">
        <v>1.4328169344889499</v>
      </c>
      <c r="I408" s="10">
        <v>124144.91492851469</v>
      </c>
      <c r="J408" s="4">
        <v>1.7455000000000001</v>
      </c>
      <c r="K408" s="4">
        <v>62.822400000000002</v>
      </c>
      <c r="L408" s="7">
        <v>1</v>
      </c>
      <c r="M408" s="4">
        <v>457.58519999999999</v>
      </c>
      <c r="N408" s="4">
        <v>8.3428422566494049</v>
      </c>
      <c r="O408" s="4">
        <v>1.3105882096801841E-3</v>
      </c>
      <c r="P408" s="4">
        <v>1.9142810197394042E-2</v>
      </c>
      <c r="Q408" s="4">
        <v>2.0659714161974883</v>
      </c>
      <c r="R408" s="3">
        <v>1.2600733938489249E-2</v>
      </c>
      <c r="S408" s="33">
        <v>-4.6884808953549767E-2</v>
      </c>
      <c r="T408" s="5">
        <v>68.3</v>
      </c>
      <c r="U408" s="34">
        <v>0.20738910833333335</v>
      </c>
      <c r="V408">
        <v>1.4530851184701601</v>
      </c>
    </row>
    <row r="409" spans="1:22" ht="16" x14ac:dyDescent="0.2">
      <c r="A409" s="2" t="s">
        <v>95</v>
      </c>
      <c r="B409" s="5">
        <v>2021</v>
      </c>
      <c r="C409" s="4">
        <v>5.3943082111028291</v>
      </c>
      <c r="D409" s="4">
        <v>-70.23106746900794</v>
      </c>
      <c r="E409" s="13">
        <v>0.72827007486338258</v>
      </c>
      <c r="F409" s="4">
        <v>1.0028999999999999</v>
      </c>
      <c r="G409" s="4">
        <v>4650.6400000000003</v>
      </c>
      <c r="H409" s="7">
        <v>15.296929309156551</v>
      </c>
      <c r="I409" s="10">
        <v>97827.729433073968</v>
      </c>
      <c r="J409" s="4">
        <v>1.8313999999999999</v>
      </c>
      <c r="K409" s="4">
        <v>62.418399999999998</v>
      </c>
      <c r="L409" s="7">
        <v>1</v>
      </c>
      <c r="M409" s="4">
        <v>281.75209999999998</v>
      </c>
      <c r="N409" s="4">
        <v>8.4979888223279225</v>
      </c>
      <c r="O409" s="4">
        <v>9.6531375002088349E-4</v>
      </c>
      <c r="P409" s="4">
        <v>1.2273455107890909E-2</v>
      </c>
      <c r="Q409" s="4">
        <v>1.006280593147135</v>
      </c>
      <c r="R409" s="3">
        <v>1.1387730271378965E-2</v>
      </c>
      <c r="S409" s="33">
        <v>0.17013409527144688</v>
      </c>
      <c r="T409" s="5">
        <v>69.400000000000006</v>
      </c>
      <c r="U409" s="34">
        <v>0.22799430000000001</v>
      </c>
      <c r="V409">
        <v>1.3312242595708099</v>
      </c>
    </row>
    <row r="410" spans="1:22" ht="16" x14ac:dyDescent="0.2">
      <c r="A410" s="2" t="s">
        <v>95</v>
      </c>
      <c r="B410" s="5">
        <v>2022</v>
      </c>
      <c r="C410" s="4">
        <v>5.3076677462337649</v>
      </c>
      <c r="D410" s="4">
        <v>0.59314402732942206</v>
      </c>
      <c r="E410" s="13">
        <v>1.5490479498024165E-2</v>
      </c>
      <c r="F410" s="4">
        <v>1.0184250000000001</v>
      </c>
      <c r="G410" s="4">
        <v>5335.34</v>
      </c>
      <c r="H410" s="7">
        <v>14.722704832023116</v>
      </c>
      <c r="I410" s="10">
        <v>62744.846881503268</v>
      </c>
      <c r="J410" s="4">
        <v>2.0038125</v>
      </c>
      <c r="K410" s="4">
        <v>64.132024999999999</v>
      </c>
      <c r="L410" s="7">
        <v>1</v>
      </c>
      <c r="M410" s="4">
        <v>328.94400000000002</v>
      </c>
      <c r="N410" s="4">
        <v>8.6278021458917245</v>
      </c>
      <c r="O410" s="4">
        <v>6.3892468024367619E-4</v>
      </c>
      <c r="P410" s="4">
        <v>1.4718547529323483E-2</v>
      </c>
      <c r="Q410" s="4">
        <v>1.0989178754011695</v>
      </c>
      <c r="R410" s="3">
        <v>1.1948911842379582E-2</v>
      </c>
      <c r="S410" s="33">
        <v>7.9033467101142882E-2</v>
      </c>
      <c r="T410" s="5">
        <v>69.099999999999994</v>
      </c>
      <c r="U410" s="34">
        <v>0.16926596666666663</v>
      </c>
      <c r="V410">
        <v>1.4416644589652201</v>
      </c>
    </row>
    <row r="411" spans="1:22" x14ac:dyDescent="0.2">
      <c r="U411" s="34"/>
    </row>
    <row r="412" spans="1:22" x14ac:dyDescent="0.2">
      <c r="A412" s="5" t="s">
        <v>35</v>
      </c>
      <c r="U412" s="34"/>
    </row>
    <row r="413" spans="1:22" ht="16" x14ac:dyDescent="0.2">
      <c r="A413" s="2" t="s">
        <v>36</v>
      </c>
      <c r="B413" s="5">
        <v>2014</v>
      </c>
      <c r="C413" s="8">
        <v>2.4340746078406701</v>
      </c>
      <c r="D413" s="4">
        <v>1.9733761327885895</v>
      </c>
      <c r="E413" s="6">
        <v>-1.2775887590475224E-2</v>
      </c>
      <c r="F413" s="11">
        <v>1.0908</v>
      </c>
      <c r="G413" s="8">
        <v>926398</v>
      </c>
      <c r="H413" s="7">
        <v>5.5690530672525549</v>
      </c>
      <c r="I413" s="4">
        <v>27272.150402489999</v>
      </c>
      <c r="J413" s="11">
        <v>2.0333999999999999</v>
      </c>
      <c r="K413" s="11">
        <v>52.0501</v>
      </c>
      <c r="L413" s="7">
        <v>1</v>
      </c>
      <c r="M413" s="8">
        <v>62.861600000000003</v>
      </c>
      <c r="N413" s="8">
        <v>12.001587999696921</v>
      </c>
      <c r="O413" s="8">
        <v>2.783713856960406E-3</v>
      </c>
      <c r="P413" s="8">
        <v>8.3319240175267428E-2</v>
      </c>
      <c r="Q413" s="8">
        <v>0.3289974099285024</v>
      </c>
      <c r="R413" s="3">
        <v>7.2643041567379925E-3</v>
      </c>
      <c r="S413" s="33">
        <v>5.7175487891084675E-2</v>
      </c>
      <c r="T413" s="5">
        <v>61.4</v>
      </c>
      <c r="U413" s="34">
        <v>7.7804516666666657E-2</v>
      </c>
      <c r="V413">
        <v>7.7540833333333303</v>
      </c>
    </row>
    <row r="414" spans="1:22" ht="16" x14ac:dyDescent="0.2">
      <c r="A414" s="2" t="s">
        <v>36</v>
      </c>
      <c r="B414" s="5">
        <v>2015</v>
      </c>
      <c r="C414" s="8">
        <v>3.9574860252794566</v>
      </c>
      <c r="D414" s="4">
        <v>-1.3360778931636197</v>
      </c>
      <c r="E414" s="6">
        <v>2.6024897295819586E-2</v>
      </c>
      <c r="F414" s="11">
        <v>1.1102000000000001</v>
      </c>
      <c r="G414" s="8">
        <v>1133146</v>
      </c>
      <c r="H414" s="7">
        <v>22.317405693881032</v>
      </c>
      <c r="I414" s="4">
        <v>35314.562123540003</v>
      </c>
      <c r="J414" s="11">
        <v>1.8535999999999999</v>
      </c>
      <c r="K414" s="11">
        <v>53.331800000000001</v>
      </c>
      <c r="L414" s="7">
        <v>1</v>
      </c>
      <c r="M414" s="8">
        <v>60.808799999999998</v>
      </c>
      <c r="N414" s="8">
        <v>12.056308296506426</v>
      </c>
      <c r="O414" s="8">
        <v>2.3386781749080519E-3</v>
      </c>
      <c r="P414" s="8">
        <v>7.8227405411873008E-2</v>
      </c>
      <c r="Q414" s="8">
        <v>0.30350436524695174</v>
      </c>
      <c r="R414" s="3">
        <v>7.160387118434427E-3</v>
      </c>
      <c r="S414" s="33">
        <v>6.1502916934285043E-2</v>
      </c>
      <c r="T414" s="5">
        <v>60.9</v>
      </c>
      <c r="U414" s="34">
        <v>2.9720791666666666E-2</v>
      </c>
      <c r="V414">
        <v>7.7517500000000004</v>
      </c>
    </row>
    <row r="415" spans="1:22" ht="16" x14ac:dyDescent="0.2">
      <c r="A415" s="2" t="s">
        <v>36</v>
      </c>
      <c r="B415" s="5">
        <v>2016</v>
      </c>
      <c r="C415" s="8">
        <v>2.3109102963051402</v>
      </c>
      <c r="D415" s="4">
        <v>-2.169649373229297</v>
      </c>
      <c r="E415" s="6">
        <v>3.3639435895679734E-2</v>
      </c>
      <c r="F415" s="11">
        <v>1.1032999999999999</v>
      </c>
      <c r="G415" s="8">
        <v>1224592</v>
      </c>
      <c r="H415" s="7">
        <v>8.0700986457173212</v>
      </c>
      <c r="I415" s="4">
        <v>41722.764784739993</v>
      </c>
      <c r="J415" s="11">
        <v>1.8828</v>
      </c>
      <c r="K415" s="11">
        <v>53.8962</v>
      </c>
      <c r="L415" s="7">
        <v>1</v>
      </c>
      <c r="M415" s="8">
        <v>61.3643</v>
      </c>
      <c r="N415" s="8">
        <v>12.087397564244368</v>
      </c>
      <c r="O415" s="8">
        <v>2.6524894031078865E-3</v>
      </c>
      <c r="P415" s="8">
        <v>6.3457614177282656E-2</v>
      </c>
      <c r="Q415" s="8">
        <v>0.22270671355150357</v>
      </c>
      <c r="R415" s="3">
        <v>7.0461704404009033E-3</v>
      </c>
      <c r="S415" s="33">
        <v>3.7088649642907798E-2</v>
      </c>
      <c r="T415" s="5">
        <v>61.6</v>
      </c>
      <c r="U415" s="34">
        <v>9.6016116666666665E-2</v>
      </c>
      <c r="V415">
        <v>7.7622499999999999</v>
      </c>
    </row>
    <row r="416" spans="1:22" ht="16" x14ac:dyDescent="0.2">
      <c r="A416" s="2" t="s">
        <v>36</v>
      </c>
      <c r="B416" s="5">
        <v>2017</v>
      </c>
      <c r="C416" s="8">
        <v>2.6795153506864291</v>
      </c>
      <c r="D416" s="4">
        <v>1.0274763628369974</v>
      </c>
      <c r="E416" s="6">
        <v>-2.0638028515299555E-3</v>
      </c>
      <c r="F416" s="11">
        <v>1.1528</v>
      </c>
      <c r="G416" s="8">
        <v>1320820</v>
      </c>
      <c r="H416" s="7">
        <v>7.8579641219279557</v>
      </c>
      <c r="I416" s="4">
        <v>25226.00506838</v>
      </c>
      <c r="J416" s="11">
        <v>1.9713000000000001</v>
      </c>
      <c r="K416" s="11">
        <v>50.896599999999999</v>
      </c>
      <c r="L416" s="7">
        <v>1</v>
      </c>
      <c r="M416" s="8">
        <v>62.030299999999997</v>
      </c>
      <c r="N416" s="8">
        <v>12.150783740363485</v>
      </c>
      <c r="O416" s="8">
        <v>1.9760690701705074E-3</v>
      </c>
      <c r="P416" s="8">
        <v>7.4855239647967919E-2</v>
      </c>
      <c r="Q416" s="8">
        <v>0.1972225904851895</v>
      </c>
      <c r="R416" s="3">
        <v>7.5148074610391592E-3</v>
      </c>
      <c r="S416" s="33">
        <v>6.3619496879427528E-2</v>
      </c>
      <c r="T416" s="5">
        <v>60.7</v>
      </c>
      <c r="U416" s="34">
        <v>8.6409499999999997E-3</v>
      </c>
      <c r="V416">
        <v>7.7932499999999996</v>
      </c>
    </row>
    <row r="417" spans="1:22" ht="16" x14ac:dyDescent="0.2">
      <c r="A417" s="2" t="s">
        <v>36</v>
      </c>
      <c r="B417" s="5">
        <v>2018</v>
      </c>
      <c r="C417" s="8">
        <v>3.0108817891124122</v>
      </c>
      <c r="D417" s="4">
        <v>0.88628953041273206</v>
      </c>
      <c r="E417" s="6">
        <v>4.3244133236888995E-3</v>
      </c>
      <c r="F417" s="11">
        <v>1.1152</v>
      </c>
      <c r="G417" s="8">
        <v>1338936</v>
      </c>
      <c r="H417" s="7">
        <v>1.3715722051452885</v>
      </c>
      <c r="I417" s="4">
        <v>27585.268191250001</v>
      </c>
      <c r="J417" s="11">
        <v>2.1941000000000002</v>
      </c>
      <c r="K417" s="11">
        <v>47.786499999999997</v>
      </c>
      <c r="L417" s="7">
        <v>1</v>
      </c>
      <c r="M417" s="8">
        <v>22.683199999999999</v>
      </c>
      <c r="N417" s="8">
        <v>12.209168509892946</v>
      </c>
      <c r="O417" s="8">
        <v>3.0531252034291787E-3</v>
      </c>
      <c r="P417" s="8">
        <v>6.928166290104916E-2</v>
      </c>
      <c r="Q417" s="8">
        <v>0.27144238167820928</v>
      </c>
      <c r="R417" s="3">
        <v>7.5734887247969488E-3</v>
      </c>
      <c r="S417" s="33">
        <v>5.994545160322088E-2</v>
      </c>
      <c r="T417" s="5">
        <v>57.6</v>
      </c>
      <c r="U417" s="34">
        <v>1.4011116666666665E-2</v>
      </c>
      <c r="V417">
        <v>7.8384999999999998</v>
      </c>
    </row>
    <row r="418" spans="1:22" ht="16" x14ac:dyDescent="0.2">
      <c r="A418" s="2" t="s">
        <v>36</v>
      </c>
      <c r="B418" s="5">
        <v>2019</v>
      </c>
      <c r="C418" s="8">
        <v>2.9131672159598945</v>
      </c>
      <c r="D418" s="4">
        <v>8.4200923866867741E-2</v>
      </c>
      <c r="E418" s="6">
        <v>1.1915947742641734E-2</v>
      </c>
      <c r="F418" s="11">
        <v>1.0839000000000001</v>
      </c>
      <c r="G418" s="8">
        <v>1450063</v>
      </c>
      <c r="H418" s="7">
        <v>8.299649871241046</v>
      </c>
      <c r="I418" s="4">
        <v>26610.70297056</v>
      </c>
      <c r="J418" s="11">
        <v>2.2086000000000001</v>
      </c>
      <c r="K418" s="11">
        <v>51.931600000000003</v>
      </c>
      <c r="L418" s="7">
        <v>1</v>
      </c>
      <c r="M418" s="8">
        <v>34.563000000000002</v>
      </c>
      <c r="N418" s="8">
        <v>12.279773515114602</v>
      </c>
      <c r="O418" s="8">
        <v>3.7117925567052542E-3</v>
      </c>
      <c r="P418" s="8">
        <v>5.5286577771983085E-2</v>
      </c>
      <c r="Q418" s="8">
        <v>0.41716182900517751</v>
      </c>
      <c r="R418" s="3">
        <v>7.7536098671387122E-3</v>
      </c>
      <c r="S418" s="33">
        <v>3.714056185031663E-3</v>
      </c>
      <c r="T418" s="5">
        <v>57.9</v>
      </c>
      <c r="U418" s="34">
        <v>4.1567483333333342E-2</v>
      </c>
      <c r="V418">
        <v>7.8359166666666704</v>
      </c>
    </row>
    <row r="419" spans="1:22" ht="16" x14ac:dyDescent="0.2">
      <c r="A419" s="2" t="s">
        <v>36</v>
      </c>
      <c r="B419" s="5">
        <v>2020</v>
      </c>
      <c r="C419" s="8">
        <v>1.9144672161352614</v>
      </c>
      <c r="D419" s="4">
        <v>0.69735847946005936</v>
      </c>
      <c r="E419" s="6">
        <v>1.1360217180057794E-2</v>
      </c>
      <c r="F419" s="11">
        <v>1.0479000000000001</v>
      </c>
      <c r="G419" s="8">
        <v>1669885</v>
      </c>
      <c r="H419" s="7">
        <v>15.159479277796894</v>
      </c>
      <c r="I419" s="4">
        <v>73830.392090439986</v>
      </c>
      <c r="J419" s="11">
        <v>1.7425999999999999</v>
      </c>
      <c r="K419" s="11">
        <v>57.912100000000002</v>
      </c>
      <c r="L419" s="7">
        <v>1</v>
      </c>
      <c r="M419" s="8">
        <v>38.0092</v>
      </c>
      <c r="N419" s="8">
        <v>12.332533188261703</v>
      </c>
      <c r="O419" s="8">
        <v>5.4528952195921562E-3</v>
      </c>
      <c r="P419" s="8">
        <v>6.2300840826599112E-2</v>
      </c>
      <c r="Q419" s="8">
        <v>0.43681985969980591</v>
      </c>
      <c r="R419" s="3">
        <v>7.4683545568193198E-3</v>
      </c>
      <c r="S419" s="33">
        <v>-4.9938533014777367E-2</v>
      </c>
      <c r="T419" s="5">
        <v>57.5</v>
      </c>
      <c r="U419" s="34">
        <v>0.25270476666666669</v>
      </c>
      <c r="V419">
        <v>7.75725</v>
      </c>
    </row>
    <row r="420" spans="1:22" ht="16" x14ac:dyDescent="0.2">
      <c r="A420" s="2" t="s">
        <v>36</v>
      </c>
      <c r="B420" s="5">
        <v>2021</v>
      </c>
      <c r="C420" s="8">
        <v>1.5690665401220421</v>
      </c>
      <c r="D420" s="4">
        <v>-1.9265862530410329</v>
      </c>
      <c r="E420" s="6">
        <v>3.0672993106873197E-2</v>
      </c>
      <c r="F420" s="11">
        <v>1.0550999999999999</v>
      </c>
      <c r="G420" s="8">
        <v>1801743</v>
      </c>
      <c r="H420" s="7">
        <v>7.8962323752833283</v>
      </c>
      <c r="I420" s="4">
        <v>133756.4610516</v>
      </c>
      <c r="J420" s="11">
        <v>1.5041</v>
      </c>
      <c r="K420" s="11">
        <v>61.5642</v>
      </c>
      <c r="L420" s="7">
        <v>1</v>
      </c>
      <c r="M420" s="8">
        <v>49.182299999999998</v>
      </c>
      <c r="N420" s="8">
        <v>12.360645532786759</v>
      </c>
      <c r="O420" s="8">
        <v>6.8981654310317749E-3</v>
      </c>
      <c r="P420" s="8">
        <v>6.1055648058457257E-2</v>
      </c>
      <c r="Q420" s="8">
        <v>0.28864519563430513</v>
      </c>
      <c r="R420" s="3">
        <v>7.656178567856893E-3</v>
      </c>
      <c r="S420" s="33">
        <v>6.9484604300285288E-2</v>
      </c>
      <c r="T420" s="5">
        <v>58.8</v>
      </c>
      <c r="U420" s="34">
        <v>0.30359063333333336</v>
      </c>
      <c r="V420">
        <v>7.77325</v>
      </c>
    </row>
    <row r="421" spans="1:22" ht="16" x14ac:dyDescent="0.2">
      <c r="A421" s="2" t="s">
        <v>36</v>
      </c>
      <c r="B421" s="5">
        <v>2022</v>
      </c>
      <c r="C421" s="8">
        <v>1.1476438628302368</v>
      </c>
      <c r="D421" s="4">
        <v>16.029094339521126</v>
      </c>
      <c r="E421" s="6">
        <v>-0.14578099752268955</v>
      </c>
      <c r="F421" s="11">
        <v>1.0401</v>
      </c>
      <c r="G421" s="8">
        <v>1981831</v>
      </c>
      <c r="H421" s="7">
        <v>9.995210193684672</v>
      </c>
      <c r="I421" s="4">
        <v>310346.42356090003</v>
      </c>
      <c r="J421" s="11">
        <v>1.7787999999999999</v>
      </c>
      <c r="K421" s="11">
        <v>63.940399999999997</v>
      </c>
      <c r="L421" s="7">
        <v>1</v>
      </c>
      <c r="M421" s="8">
        <v>49.092500000000001</v>
      </c>
      <c r="N421" s="8">
        <v>12.399756932136814</v>
      </c>
      <c r="O421" s="8">
        <v>1.4177625631345029E-2</v>
      </c>
      <c r="P421" s="8">
        <v>8.0575890910932285E-2</v>
      </c>
      <c r="Q421" s="8">
        <v>0.97343598819419408</v>
      </c>
      <c r="R421" s="3">
        <v>7.0351677101329847E-3</v>
      </c>
      <c r="S421" s="33">
        <v>-2.4593410066074222E-2</v>
      </c>
      <c r="T421" s="5">
        <v>62.5</v>
      </c>
      <c r="U421" s="34">
        <v>0.14945029999999998</v>
      </c>
      <c r="V421">
        <v>7.8314166666666702</v>
      </c>
    </row>
    <row r="422" spans="1:22" x14ac:dyDescent="0.2">
      <c r="U422" s="34"/>
    </row>
    <row r="423" spans="1:22" ht="16" x14ac:dyDescent="0.2">
      <c r="A423" s="2" t="s">
        <v>37</v>
      </c>
      <c r="B423" s="5">
        <v>2014</v>
      </c>
      <c r="C423" s="8">
        <v>3.7102830837226382</v>
      </c>
      <c r="D423" s="4">
        <v>10.002591764117398</v>
      </c>
      <c r="E423" s="6">
        <v>-9.0076091612452058E-2</v>
      </c>
      <c r="F423" s="11">
        <v>1.0056</v>
      </c>
      <c r="G423" s="8">
        <v>862144</v>
      </c>
      <c r="H423" s="7">
        <v>55.713852244650262</v>
      </c>
      <c r="I423" s="4">
        <v>35288.993379239997</v>
      </c>
      <c r="J423" s="11">
        <v>1.9927999999999999</v>
      </c>
      <c r="K423" s="11">
        <v>53.760899999999999</v>
      </c>
      <c r="L423" s="7">
        <v>1</v>
      </c>
      <c r="M423" s="8">
        <v>99.535700000000006</v>
      </c>
      <c r="N423" s="8">
        <v>11.539021578046517</v>
      </c>
      <c r="O423" s="8">
        <v>2.686710454508055E-3</v>
      </c>
      <c r="P423" s="8">
        <v>9.0416740616118513E-2</v>
      </c>
      <c r="Q423" s="8">
        <v>1.7085951492301374</v>
      </c>
      <c r="R423" s="3">
        <v>8.5045073906383408E-3</v>
      </c>
      <c r="S423" s="33">
        <v>5.7175487891084675E-2</v>
      </c>
      <c r="T423" s="5">
        <v>61.4</v>
      </c>
      <c r="U423" s="34">
        <v>7.7804516666666657E-2</v>
      </c>
      <c r="V423">
        <v>7.7540833333333303</v>
      </c>
    </row>
    <row r="424" spans="1:22" ht="16" x14ac:dyDescent="0.2">
      <c r="A424" s="2" t="s">
        <v>37</v>
      </c>
      <c r="B424" s="5">
        <v>2015</v>
      </c>
      <c r="C424" s="8">
        <v>3.1564978183103962</v>
      </c>
      <c r="D424" s="4">
        <v>0.34027290491747531</v>
      </c>
      <c r="E424" s="6">
        <v>1.1269896664619224E-2</v>
      </c>
      <c r="F424" s="11">
        <v>0.99839999999999995</v>
      </c>
      <c r="G424" s="8">
        <v>1102010</v>
      </c>
      <c r="H424" s="7">
        <v>27.822034370128424</v>
      </c>
      <c r="I424" s="4">
        <v>64171.841144599995</v>
      </c>
      <c r="J424" s="11">
        <v>1.8272999999999999</v>
      </c>
      <c r="K424" s="11">
        <v>55.276899999999998</v>
      </c>
      <c r="L424" s="7">
        <v>1</v>
      </c>
      <c r="M424" s="8">
        <v>74.272800000000004</v>
      </c>
      <c r="N424" s="8">
        <v>11.52109064298976</v>
      </c>
      <c r="O424" s="8">
        <v>5.1644325900138659E-3</v>
      </c>
      <c r="P424" s="8">
        <v>0.14200476326979039</v>
      </c>
      <c r="Q424" s="8">
        <v>2.2524645973355777</v>
      </c>
      <c r="R424" s="3">
        <v>7.9761562681890524E-3</v>
      </c>
      <c r="S424" s="33">
        <v>6.1502916934285043E-2</v>
      </c>
      <c r="T424" s="5">
        <v>60.9</v>
      </c>
      <c r="U424" s="34">
        <v>2.9720791666666666E-2</v>
      </c>
      <c r="V424">
        <v>7.7517500000000004</v>
      </c>
    </row>
    <row r="425" spans="1:22" ht="16" x14ac:dyDescent="0.2">
      <c r="A425" s="2" t="s">
        <v>37</v>
      </c>
      <c r="B425" s="5">
        <v>2016</v>
      </c>
      <c r="C425" s="8">
        <v>2.3170594645731257</v>
      </c>
      <c r="D425" s="4">
        <v>1.416649588695247</v>
      </c>
      <c r="E425" s="6">
        <v>5.0986967459983193E-3</v>
      </c>
      <c r="F425" s="11">
        <v>1.0024</v>
      </c>
      <c r="G425" s="8">
        <v>928816</v>
      </c>
      <c r="H425" s="7">
        <v>-15.71619132312774</v>
      </c>
      <c r="I425" s="4">
        <v>87276.204592380003</v>
      </c>
      <c r="J425" s="11">
        <v>1.738</v>
      </c>
      <c r="K425" s="11">
        <v>55.389800000000001</v>
      </c>
      <c r="L425" s="7">
        <v>1</v>
      </c>
      <c r="M425" s="8">
        <v>62.661000000000001</v>
      </c>
      <c r="N425" s="8">
        <v>11.500357620425071</v>
      </c>
      <c r="O425" s="8">
        <v>8.1449057592553331E-3</v>
      </c>
      <c r="P425" s="8">
        <v>9.9042044593743994E-2</v>
      </c>
      <c r="Q425" s="8">
        <v>2.9440735362638355</v>
      </c>
      <c r="R425" s="3">
        <v>8.2561618063734851E-3</v>
      </c>
      <c r="S425" s="33">
        <v>3.7088649642907798E-2</v>
      </c>
      <c r="T425" s="5">
        <v>61.6</v>
      </c>
      <c r="U425" s="34">
        <v>9.6016116666666665E-2</v>
      </c>
      <c r="V425">
        <v>7.7622499999999999</v>
      </c>
    </row>
    <row r="426" spans="1:22" ht="16" x14ac:dyDescent="0.2">
      <c r="A426" s="2" t="s">
        <v>37</v>
      </c>
      <c r="B426" s="5">
        <v>2017</v>
      </c>
      <c r="C426" s="8">
        <v>5.1152248190211136</v>
      </c>
      <c r="D426" s="4">
        <v>0.30208126735137819</v>
      </c>
      <c r="E426" s="6">
        <v>6.7805723493901456E-3</v>
      </c>
      <c r="F426" s="11">
        <v>1.0051000000000001</v>
      </c>
      <c r="G426" s="8">
        <v>1231862</v>
      </c>
      <c r="H426" s="7">
        <v>32.627129592944137</v>
      </c>
      <c r="I426" s="4">
        <v>66270.225151999999</v>
      </c>
      <c r="J426" s="11">
        <v>1.8088</v>
      </c>
      <c r="K426" s="11">
        <v>47.413899999999998</v>
      </c>
      <c r="L426" s="7">
        <v>1</v>
      </c>
      <c r="M426" s="8">
        <v>39.927300000000002</v>
      </c>
      <c r="N426" s="8">
        <v>11.547783085200017</v>
      </c>
      <c r="O426" s="8">
        <v>7.047582540124879E-3</v>
      </c>
      <c r="P426" s="8">
        <v>0.11122601268046586</v>
      </c>
      <c r="Q426" s="8">
        <v>1.3597501463352588</v>
      </c>
      <c r="R426" s="3">
        <v>8.0191610422829952E-3</v>
      </c>
      <c r="S426" s="33">
        <v>6.3619496879427528E-2</v>
      </c>
      <c r="T426" s="5">
        <v>60.7</v>
      </c>
      <c r="U426" s="34">
        <v>8.6409499999999997E-3</v>
      </c>
      <c r="V426">
        <v>7.7932499999999996</v>
      </c>
    </row>
    <row r="427" spans="1:22" ht="16" x14ac:dyDescent="0.2">
      <c r="A427" s="2" t="s">
        <v>37</v>
      </c>
      <c r="B427" s="5">
        <v>2018</v>
      </c>
      <c r="C427" s="8">
        <v>3.5590668745608385</v>
      </c>
      <c r="D427" s="4">
        <v>0.819751520987545</v>
      </c>
      <c r="E427" s="6">
        <v>5.4164812084028895E-3</v>
      </c>
      <c r="F427" s="11">
        <v>0.97499999999999998</v>
      </c>
      <c r="G427" s="8">
        <v>1147319</v>
      </c>
      <c r="H427" s="7">
        <v>-6.8630252414637356</v>
      </c>
      <c r="I427" s="4">
        <v>44575.939202369998</v>
      </c>
      <c r="J427" s="11">
        <v>1.8531</v>
      </c>
      <c r="K427" s="11">
        <v>50.158200000000001</v>
      </c>
      <c r="L427" s="7">
        <v>1</v>
      </c>
      <c r="M427" s="8">
        <v>39.017099999999999</v>
      </c>
      <c r="N427" s="8">
        <v>11.58225994490237</v>
      </c>
      <c r="O427" s="8">
        <v>4.5548320348269226E-3</v>
      </c>
      <c r="P427" s="8">
        <v>0.10248874569897486</v>
      </c>
      <c r="Q427" s="8">
        <v>1.7264035211960456</v>
      </c>
      <c r="R427" s="3">
        <v>8.1453274995979836E-3</v>
      </c>
      <c r="S427" s="33">
        <v>5.994545160322088E-2</v>
      </c>
      <c r="T427" s="5">
        <v>57.6</v>
      </c>
      <c r="U427" s="34">
        <v>1.4011116666666665E-2</v>
      </c>
      <c r="V427">
        <v>7.8384999999999998</v>
      </c>
    </row>
    <row r="428" spans="1:22" ht="16" x14ac:dyDescent="0.2">
      <c r="A428" s="2" t="s">
        <v>37</v>
      </c>
      <c r="B428" s="5">
        <v>2019</v>
      </c>
      <c r="C428" s="8">
        <v>1.9848645515527261</v>
      </c>
      <c r="D428" s="4">
        <v>2.5762694092138085</v>
      </c>
      <c r="E428" s="23">
        <v>-1.2302088928808297E-2</v>
      </c>
      <c r="F428" s="11">
        <v>0.94789999999999996</v>
      </c>
      <c r="G428" s="8">
        <v>833133</v>
      </c>
      <c r="H428" s="7">
        <v>-27.384363023710058</v>
      </c>
      <c r="I428" s="4">
        <v>79453.105499170008</v>
      </c>
      <c r="J428" s="11">
        <v>1.9854000000000001</v>
      </c>
      <c r="K428" s="11">
        <v>50.068300000000001</v>
      </c>
      <c r="L428" s="7">
        <v>1</v>
      </c>
      <c r="M428" s="8">
        <v>37.700400000000002</v>
      </c>
      <c r="N428" s="8">
        <v>11.617975502534719</v>
      </c>
      <c r="O428" s="8">
        <v>7.2315832088583401E-3</v>
      </c>
      <c r="P428" s="8">
        <v>0.10939850390839344</v>
      </c>
      <c r="Q428" s="8">
        <v>5.3653777596929091</v>
      </c>
      <c r="R428" s="3">
        <v>8.0481357645263308E-3</v>
      </c>
      <c r="S428" s="33">
        <v>3.714056185031663E-3</v>
      </c>
      <c r="T428" s="5">
        <v>57.9</v>
      </c>
      <c r="U428" s="34">
        <v>4.1567483333333342E-2</v>
      </c>
      <c r="V428">
        <v>7.8359166666666704</v>
      </c>
    </row>
    <row r="429" spans="1:22" ht="16" x14ac:dyDescent="0.2">
      <c r="A429" s="2" t="s">
        <v>37</v>
      </c>
      <c r="B429" s="5">
        <v>2020</v>
      </c>
      <c r="C429" s="8">
        <v>2.111728902422032</v>
      </c>
      <c r="D429" s="4">
        <v>2.5762694092138085</v>
      </c>
      <c r="E429" s="6">
        <v>-1.2302088928808297E-2</v>
      </c>
      <c r="F429" s="11">
        <v>0.94279999999999997</v>
      </c>
      <c r="G429" s="8">
        <v>739826</v>
      </c>
      <c r="H429" s="7">
        <v>-11.199532367581167</v>
      </c>
      <c r="I429" s="4">
        <v>83380.969089200007</v>
      </c>
      <c r="J429" s="11">
        <v>1.5593999999999999</v>
      </c>
      <c r="K429" s="11">
        <v>50.564100000000003</v>
      </c>
      <c r="L429" s="7">
        <v>1</v>
      </c>
      <c r="M429" s="8">
        <v>40.872300000000003</v>
      </c>
      <c r="N429" s="8">
        <v>11.64451719316137</v>
      </c>
      <c r="O429" s="8">
        <v>9.2425280408783093E-3</v>
      </c>
      <c r="P429" s="8">
        <v>0.1285859666093517</v>
      </c>
      <c r="Q429" s="8">
        <v>2.6019603814419643</v>
      </c>
      <c r="R429" s="3">
        <v>8.0873588100807518E-3</v>
      </c>
      <c r="S429" s="33">
        <v>-4.9938533014777367E-2</v>
      </c>
      <c r="T429" s="5">
        <v>57.5</v>
      </c>
      <c r="U429" s="34">
        <v>0.25270476666666669</v>
      </c>
      <c r="V429">
        <v>7.75725</v>
      </c>
    </row>
    <row r="430" spans="1:22" ht="16" x14ac:dyDescent="0.2">
      <c r="A430" s="2" t="s">
        <v>37</v>
      </c>
      <c r="B430" s="5">
        <v>2021</v>
      </c>
      <c r="C430" s="8">
        <v>2.7911854209004821</v>
      </c>
      <c r="D430" s="4">
        <v>2.4360455413893205</v>
      </c>
      <c r="E430" s="6">
        <v>-8.0071594205957525E-3</v>
      </c>
      <c r="F430" s="11">
        <v>0.92390000000000005</v>
      </c>
      <c r="G430" s="8">
        <v>703649</v>
      </c>
      <c r="H430" s="7">
        <v>-4.8899335789766782</v>
      </c>
      <c r="I430" s="4">
        <v>76647.610355679994</v>
      </c>
      <c r="J430" s="11">
        <v>1.4753000000000001</v>
      </c>
      <c r="K430" s="11">
        <v>57.2438</v>
      </c>
      <c r="L430" s="7">
        <v>1</v>
      </c>
      <c r="M430" s="8">
        <v>38.006</v>
      </c>
      <c r="N430" s="8">
        <v>11.664612616802708</v>
      </c>
      <c r="O430" s="8">
        <v>7.8112157889512193E-3</v>
      </c>
      <c r="P430" s="8">
        <v>0.13294594072655627</v>
      </c>
      <c r="Q430" s="8">
        <v>1.300397557480756</v>
      </c>
      <c r="R430" s="3">
        <v>8.018838634077782E-3</v>
      </c>
      <c r="S430" s="33">
        <v>6.9484604300285288E-2</v>
      </c>
      <c r="T430" s="5">
        <v>58.8</v>
      </c>
      <c r="U430" s="34">
        <v>0.30359063333333336</v>
      </c>
      <c r="V430">
        <v>7.77325</v>
      </c>
    </row>
    <row r="431" spans="1:22" ht="16" x14ac:dyDescent="0.2">
      <c r="A431" s="2" t="s">
        <v>37</v>
      </c>
      <c r="B431" s="5">
        <v>2022</v>
      </c>
      <c r="C431" s="8">
        <v>2.3677929889926332</v>
      </c>
      <c r="D431" s="4">
        <v>-18.041800911724419</v>
      </c>
      <c r="E431" s="6">
        <v>0.20000287038014261</v>
      </c>
      <c r="F431" s="11">
        <v>0.92</v>
      </c>
      <c r="G431" s="8">
        <v>617320</v>
      </c>
      <c r="H431" s="7">
        <v>-12.26875899773893</v>
      </c>
      <c r="I431" s="4">
        <v>168492.30622330002</v>
      </c>
      <c r="J431" s="11">
        <v>1.7557</v>
      </c>
      <c r="K431" s="11">
        <v>51.375700000000002</v>
      </c>
      <c r="L431" s="7">
        <v>1</v>
      </c>
      <c r="M431" s="8">
        <v>37.897100000000002</v>
      </c>
      <c r="N431" s="8">
        <v>11.636540613634368</v>
      </c>
      <c r="O431" s="8">
        <v>1.2046372907409725E-2</v>
      </c>
      <c r="P431" s="8">
        <v>0.12684888251578985</v>
      </c>
      <c r="Q431" s="8">
        <v>4.0442222806814705</v>
      </c>
      <c r="R431" s="3">
        <v>8.0725495929211931E-3</v>
      </c>
      <c r="S431" s="33">
        <v>-2.4593410066074222E-2</v>
      </c>
      <c r="T431" s="5">
        <v>62.5</v>
      </c>
      <c r="U431" s="34">
        <v>0.14945029999999998</v>
      </c>
      <c r="V431">
        <v>7.8314166666666702</v>
      </c>
    </row>
    <row r="432" spans="1:22" x14ac:dyDescent="0.2">
      <c r="U432" s="34"/>
    </row>
    <row r="433" spans="1:22" ht="16" x14ac:dyDescent="0.2">
      <c r="A433" s="2" t="s">
        <v>38</v>
      </c>
      <c r="B433" s="5">
        <v>2014</v>
      </c>
      <c r="C433" s="8">
        <v>6.028783007744261</v>
      </c>
      <c r="D433" s="4">
        <v>42.881946714253914</v>
      </c>
      <c r="E433" s="6">
        <v>-0.41748777961127154</v>
      </c>
      <c r="F433" s="11">
        <v>0.98650000000000004</v>
      </c>
      <c r="G433" s="8">
        <v>168126.83100000001</v>
      </c>
      <c r="H433" s="7">
        <v>6.9203128677184029</v>
      </c>
      <c r="I433" s="4">
        <v>4751.5729531200004</v>
      </c>
      <c r="J433" s="11">
        <v>1.9525999999999999</v>
      </c>
      <c r="K433" s="11">
        <v>50.187100000000001</v>
      </c>
      <c r="L433" s="7">
        <v>1</v>
      </c>
      <c r="M433" s="8">
        <v>63.1494</v>
      </c>
      <c r="N433" s="8">
        <v>10.081686974996208</v>
      </c>
      <c r="O433" s="8">
        <v>4.7499909698345373E-3</v>
      </c>
      <c r="P433" s="8">
        <v>8.6739020292405614E-2</v>
      </c>
      <c r="Q433" s="8">
        <v>1.1851621702972697</v>
      </c>
      <c r="R433" s="3">
        <v>7.573750321771244E-3</v>
      </c>
      <c r="S433" s="33">
        <v>5.7175487891084675E-2</v>
      </c>
      <c r="T433" s="5">
        <v>61.4</v>
      </c>
      <c r="U433" s="34">
        <v>7.7804516666666657E-2</v>
      </c>
      <c r="V433">
        <v>7.7540833333333303</v>
      </c>
    </row>
    <row r="434" spans="1:22" ht="16" x14ac:dyDescent="0.2">
      <c r="A434" s="2" t="s">
        <v>38</v>
      </c>
      <c r="B434" s="5">
        <v>2015</v>
      </c>
      <c r="C434" s="8">
        <v>6.0398084648202452</v>
      </c>
      <c r="D434" s="4">
        <v>-1.8219531992629234</v>
      </c>
      <c r="E434" s="6">
        <v>3.9164627358065418E-2</v>
      </c>
      <c r="F434" s="11">
        <v>0.98860000000000003</v>
      </c>
      <c r="G434" s="8">
        <v>163032.22399999999</v>
      </c>
      <c r="H434" s="7">
        <v>-3.0302165155304794</v>
      </c>
      <c r="I434" s="4">
        <v>10555.23519102</v>
      </c>
      <c r="J434" s="11">
        <v>2.0459999999999998</v>
      </c>
      <c r="K434" s="11">
        <v>48.626600000000003</v>
      </c>
      <c r="L434" s="7">
        <v>1</v>
      </c>
      <c r="M434" s="8">
        <v>61.171399999999998</v>
      </c>
      <c r="N434" s="8">
        <v>10.138327133846087</v>
      </c>
      <c r="O434" s="8">
        <v>6.1567298252373998E-3</v>
      </c>
      <c r="P434" s="8">
        <v>8.7476186201218456E-2</v>
      </c>
      <c r="Q434" s="8">
        <v>0.91811098644947342</v>
      </c>
      <c r="R434" s="3">
        <v>7.3908433506639417E-3</v>
      </c>
      <c r="S434" s="33">
        <v>6.1502916934285043E-2</v>
      </c>
      <c r="T434" s="5">
        <v>60.9</v>
      </c>
      <c r="U434" s="34">
        <v>2.9720791666666666E-2</v>
      </c>
      <c r="V434">
        <v>7.7517500000000004</v>
      </c>
    </row>
    <row r="435" spans="1:22" ht="16" x14ac:dyDescent="0.2">
      <c r="A435" s="2" t="s">
        <v>38</v>
      </c>
      <c r="B435" s="5">
        <v>2016</v>
      </c>
      <c r="C435" s="8">
        <v>5.6470419576354578</v>
      </c>
      <c r="D435" s="4">
        <v>-0.84251901208957425</v>
      </c>
      <c r="E435" s="6">
        <v>2.3137182284010932E-2</v>
      </c>
      <c r="F435" s="11">
        <v>0.98550000000000004</v>
      </c>
      <c r="G435" s="8">
        <v>127832.402</v>
      </c>
      <c r="H435" s="7">
        <v>-21.590714483536697</v>
      </c>
      <c r="I435" s="4">
        <v>15421.432457309998</v>
      </c>
      <c r="J435" s="11">
        <v>2.1168</v>
      </c>
      <c r="K435" s="11">
        <v>50.109200000000001</v>
      </c>
      <c r="L435" s="7">
        <v>1</v>
      </c>
      <c r="M435" s="8">
        <v>74.818899999999999</v>
      </c>
      <c r="N435" s="8">
        <v>10.183596343700058</v>
      </c>
      <c r="O435" s="8">
        <v>7.4631094377056095E-3</v>
      </c>
      <c r="P435" s="8">
        <v>9.5610047316216987E-2</v>
      </c>
      <c r="Q435" s="8">
        <v>0.847094898754987</v>
      </c>
      <c r="R435" s="3">
        <v>7.3527289895338561E-3</v>
      </c>
      <c r="S435" s="33">
        <v>3.7088649642907798E-2</v>
      </c>
      <c r="T435" s="5">
        <v>61.6</v>
      </c>
      <c r="U435" s="34">
        <v>9.6016116666666665E-2</v>
      </c>
      <c r="V435">
        <v>7.7622499999999999</v>
      </c>
    </row>
    <row r="436" spans="1:22" ht="16" x14ac:dyDescent="0.2">
      <c r="A436" s="2" t="s">
        <v>38</v>
      </c>
      <c r="B436" s="5">
        <v>2017</v>
      </c>
      <c r="C436" s="8">
        <v>5.4875271424287053</v>
      </c>
      <c r="D436" s="4">
        <v>0.41426548330645657</v>
      </c>
      <c r="E436" s="6">
        <v>5.3431810921783897E-3</v>
      </c>
      <c r="F436" s="11">
        <v>0.99470000000000003</v>
      </c>
      <c r="G436" s="8">
        <v>125266.591</v>
      </c>
      <c r="H436" s="7">
        <v>-2.0071679479198097</v>
      </c>
      <c r="I436" s="4">
        <v>9912.0629195600013</v>
      </c>
      <c r="J436" s="11">
        <v>2.1175000000000002</v>
      </c>
      <c r="K436" s="11">
        <v>45.282899999999998</v>
      </c>
      <c r="L436" s="7">
        <v>1</v>
      </c>
      <c r="M436" s="8">
        <v>63.501300000000001</v>
      </c>
      <c r="N436" s="8">
        <v>10.242228581357951</v>
      </c>
      <c r="O436" s="8">
        <v>5.5519373008107893E-3</v>
      </c>
      <c r="P436" s="8">
        <v>8.9146578847348584E-2</v>
      </c>
      <c r="Q436" s="8">
        <v>0.63740047833515923</v>
      </c>
      <c r="R436" s="3">
        <v>7.2698110370242501E-3</v>
      </c>
      <c r="S436" s="33">
        <v>6.3619496879427528E-2</v>
      </c>
      <c r="T436" s="5">
        <v>60.7</v>
      </c>
      <c r="U436" s="34">
        <v>8.6409499999999997E-3</v>
      </c>
      <c r="V436">
        <v>7.7932499999999996</v>
      </c>
    </row>
    <row r="437" spans="1:22" ht="16" x14ac:dyDescent="0.2">
      <c r="A437" s="2" t="s">
        <v>38</v>
      </c>
      <c r="B437" s="5">
        <v>2018</v>
      </c>
      <c r="C437" s="8">
        <v>5.8228376247231575</v>
      </c>
      <c r="D437" s="4">
        <v>0.75922546733977403</v>
      </c>
      <c r="E437" s="6">
        <v>5.9973308434151783E-3</v>
      </c>
      <c r="F437" s="11">
        <v>0.97330000000000005</v>
      </c>
      <c r="G437" s="8">
        <v>109425.98299999999</v>
      </c>
      <c r="H437" s="7">
        <v>-12.645516951922167</v>
      </c>
      <c r="I437" s="4">
        <v>7753.0910341499994</v>
      </c>
      <c r="J437" s="11">
        <v>2.3807</v>
      </c>
      <c r="K437" s="11">
        <v>46.658099999999997</v>
      </c>
      <c r="L437" s="7">
        <v>1</v>
      </c>
      <c r="M437" s="8">
        <v>56.667299999999997</v>
      </c>
      <c r="N437" s="8">
        <v>10.288790071569645</v>
      </c>
      <c r="O437" s="8">
        <v>6.9976988356858973E-3</v>
      </c>
      <c r="P437" s="8">
        <v>6.6963856185395923E-2</v>
      </c>
      <c r="Q437" s="8">
        <v>0.89287286643418662</v>
      </c>
      <c r="R437" s="3">
        <v>7.4264023796586972E-3</v>
      </c>
      <c r="S437" s="33">
        <v>5.994545160322088E-2</v>
      </c>
      <c r="T437" s="5">
        <v>57.6</v>
      </c>
      <c r="U437" s="34">
        <v>1.4011116666666665E-2</v>
      </c>
      <c r="V437">
        <v>7.8384999999999998</v>
      </c>
    </row>
    <row r="438" spans="1:22" ht="16" x14ac:dyDescent="0.2">
      <c r="A438" s="2" t="s">
        <v>38</v>
      </c>
      <c r="B438" s="5">
        <v>2019</v>
      </c>
      <c r="C438" s="8">
        <v>5.0738896041960997</v>
      </c>
      <c r="D438" s="4">
        <v>-0.21710588017988958</v>
      </c>
      <c r="E438" s="6">
        <v>1.5417387589007438E-2</v>
      </c>
      <c r="F438" s="11">
        <v>0.94810000000000005</v>
      </c>
      <c r="G438" s="8">
        <v>138265.179</v>
      </c>
      <c r="H438" s="7">
        <v>26.354980059900413</v>
      </c>
      <c r="I438" s="4">
        <v>8574.788163199999</v>
      </c>
      <c r="J438" s="11">
        <v>2.4626999999999999</v>
      </c>
      <c r="K438" s="11">
        <v>53.183900000000001</v>
      </c>
      <c r="L438" s="7">
        <v>1</v>
      </c>
      <c r="M438" s="8">
        <v>47.869100000000003</v>
      </c>
      <c r="N438" s="8">
        <v>10.349749950859399</v>
      </c>
      <c r="O438" s="8">
        <v>7.3331317016045268E-3</v>
      </c>
      <c r="P438" s="8">
        <v>0.10035254138367804</v>
      </c>
      <c r="Q438" s="8">
        <v>1.5787293124311932</v>
      </c>
      <c r="R438" s="3">
        <v>7.4105411831630998E-3</v>
      </c>
      <c r="S438" s="33">
        <v>3.714056185031663E-3</v>
      </c>
      <c r="T438" s="5">
        <v>57.9</v>
      </c>
      <c r="U438" s="34">
        <v>4.1567483333333342E-2</v>
      </c>
      <c r="V438">
        <v>7.8359166666666704</v>
      </c>
    </row>
    <row r="439" spans="1:22" ht="16" x14ac:dyDescent="0.2">
      <c r="A439" s="2" t="s">
        <v>38</v>
      </c>
      <c r="B439" s="5">
        <v>2020</v>
      </c>
      <c r="C439" s="8">
        <v>3.4761325645273224</v>
      </c>
      <c r="D439" s="4">
        <v>-5.347997187718817E-2</v>
      </c>
      <c r="E439" s="6">
        <v>1.9904182925092936E-2</v>
      </c>
      <c r="F439" s="11">
        <v>0.93020000000000003</v>
      </c>
      <c r="G439" s="8">
        <v>121217.364</v>
      </c>
      <c r="H439" s="7">
        <v>-12.329796354583248</v>
      </c>
      <c r="I439" s="4">
        <v>13121.707084199999</v>
      </c>
      <c r="J439" s="11">
        <v>2.1434000000000002</v>
      </c>
      <c r="K439" s="11">
        <v>54.853299999999997</v>
      </c>
      <c r="L439" s="7">
        <v>1</v>
      </c>
      <c r="M439" s="8">
        <v>30.3169</v>
      </c>
      <c r="N439" s="8">
        <v>10.370212468922382</v>
      </c>
      <c r="O439" s="8">
        <v>9.0734933849852834E-3</v>
      </c>
      <c r="P439" s="8">
        <v>7.55841155993415E-2</v>
      </c>
      <c r="Q439" s="8">
        <v>1.4926559993001987</v>
      </c>
      <c r="R439" s="3">
        <v>7.1230694120221873E-3</v>
      </c>
      <c r="S439" s="33">
        <v>-4.9938533014777367E-2</v>
      </c>
      <c r="T439" s="5">
        <v>57.5</v>
      </c>
      <c r="U439" s="34">
        <v>0.25270476666666669</v>
      </c>
      <c r="V439">
        <v>7.75725</v>
      </c>
    </row>
    <row r="440" spans="1:22" ht="16" x14ac:dyDescent="0.2">
      <c r="A440" s="2" t="s">
        <v>38</v>
      </c>
      <c r="B440" s="5">
        <v>2021</v>
      </c>
      <c r="C440" s="8">
        <v>3.7841791318543367</v>
      </c>
      <c r="D440" s="4">
        <v>-0.53108253908939063</v>
      </c>
      <c r="E440" s="6">
        <v>2.5451186699266746E-2</v>
      </c>
      <c r="F440" s="11">
        <v>0.91749999999999998</v>
      </c>
      <c r="G440" s="8">
        <v>137470.76699999999</v>
      </c>
      <c r="H440" s="7">
        <v>13.4084775181219</v>
      </c>
      <c r="I440" s="4">
        <v>10917.086910079999</v>
      </c>
      <c r="J440" s="11">
        <v>2.2113999999999998</v>
      </c>
      <c r="K440" s="11">
        <v>56.064100000000003</v>
      </c>
      <c r="L440" s="7">
        <v>1</v>
      </c>
      <c r="M440" s="8">
        <v>23.8339</v>
      </c>
      <c r="N440" s="8">
        <v>10.371321429571081</v>
      </c>
      <c r="O440" s="8">
        <v>9.4492718940709444E-3</v>
      </c>
      <c r="P440" s="8">
        <v>6.443355863123465E-2</v>
      </c>
      <c r="Q440" s="8">
        <v>0.61474832551549952</v>
      </c>
      <c r="R440" s="3">
        <v>7.3285325847840107E-3</v>
      </c>
      <c r="S440" s="33">
        <v>6.9484604300285288E-2</v>
      </c>
      <c r="T440" s="5">
        <v>58.8</v>
      </c>
      <c r="U440" s="34">
        <v>0.30359063333333336</v>
      </c>
      <c r="V440">
        <v>7.77325</v>
      </c>
    </row>
    <row r="441" spans="1:22" ht="16" x14ac:dyDescent="0.2">
      <c r="A441" s="2" t="s">
        <v>38</v>
      </c>
      <c r="B441" s="5">
        <v>2022</v>
      </c>
      <c r="C441" s="8">
        <v>3.6424611341295674</v>
      </c>
      <c r="D441" s="4">
        <v>-0.86900005095494259</v>
      </c>
      <c r="E441" s="6">
        <v>2.4101987872061432E-2</v>
      </c>
      <c r="F441" s="11">
        <v>0.91259999999999997</v>
      </c>
      <c r="G441" s="8">
        <v>156556.93400000001</v>
      </c>
      <c r="H441" s="7">
        <v>13.883800473740004</v>
      </c>
      <c r="I441" s="4">
        <v>21173.843838469998</v>
      </c>
      <c r="J441" s="11">
        <v>2.4056999999999999</v>
      </c>
      <c r="K441" s="11">
        <v>44.431800000000003</v>
      </c>
      <c r="L441" s="7">
        <v>1</v>
      </c>
      <c r="M441" s="8">
        <v>28.600300000000001</v>
      </c>
      <c r="N441" s="8">
        <v>10.383184050657908</v>
      </c>
      <c r="O441" s="8">
        <v>1.1891567755623033E-2</v>
      </c>
      <c r="P441" s="8">
        <v>7.6292685137604274E-2</v>
      </c>
      <c r="Q441" s="8">
        <v>0.86954292415232315</v>
      </c>
      <c r="R441" s="3">
        <v>6.8716956345371959E-3</v>
      </c>
      <c r="S441" s="33">
        <v>-2.4593410066074222E-2</v>
      </c>
      <c r="T441" s="5">
        <v>62.5</v>
      </c>
      <c r="U441" s="34">
        <v>0.14945029999999998</v>
      </c>
      <c r="V441">
        <v>7.8314166666666702</v>
      </c>
    </row>
    <row r="442" spans="1:22" x14ac:dyDescent="0.2">
      <c r="L442" s="7"/>
      <c r="U442" s="34"/>
    </row>
    <row r="443" spans="1:22" ht="16" x14ac:dyDescent="0.2">
      <c r="A443" s="2" t="s">
        <v>39</v>
      </c>
      <c r="B443" s="5">
        <v>2014</v>
      </c>
      <c r="C443" s="8">
        <v>2.864177762324903</v>
      </c>
      <c r="D443" s="4">
        <v>-0.85339025077440334</v>
      </c>
      <c r="E443" s="6">
        <v>1.9884554208790716E-2</v>
      </c>
      <c r="F443" s="11">
        <v>1.0446</v>
      </c>
      <c r="G443" s="8">
        <v>1976831</v>
      </c>
      <c r="H443" s="7">
        <v>39.973942936446967</v>
      </c>
      <c r="I443" s="4">
        <v>38795.835105899998</v>
      </c>
      <c r="J443" s="11">
        <v>1.6802999999999999</v>
      </c>
      <c r="K443" s="11">
        <v>42.308399999999999</v>
      </c>
      <c r="L443" s="7">
        <v>1</v>
      </c>
      <c r="M443" s="8">
        <v>117.8648</v>
      </c>
      <c r="N443" s="8">
        <v>12.636087373241471</v>
      </c>
      <c r="O443" s="8">
        <v>3.308103034522311E-3</v>
      </c>
      <c r="P443" s="8">
        <v>0.13138693629263282</v>
      </c>
      <c r="Q443" s="8">
        <v>0.4427826786908553</v>
      </c>
      <c r="R443" s="3">
        <v>6.5839793777386262E-3</v>
      </c>
      <c r="S443" s="33">
        <v>5.7175487891084675E-2</v>
      </c>
      <c r="T443" s="5">
        <v>61.4</v>
      </c>
      <c r="U443" s="34">
        <v>7.7804516666666657E-2</v>
      </c>
      <c r="V443">
        <v>7.7540833333333303</v>
      </c>
    </row>
    <row r="444" spans="1:22" ht="16" x14ac:dyDescent="0.2">
      <c r="A444" s="2" t="s">
        <v>39</v>
      </c>
      <c r="B444" s="5">
        <v>2015</v>
      </c>
      <c r="C444" s="8">
        <v>2.9128261735444902</v>
      </c>
      <c r="D444" s="4">
        <v>1.556887311074846</v>
      </c>
      <c r="E444" s="6">
        <v>2.6421140340810332E-3</v>
      </c>
      <c r="F444" s="11">
        <v>1.0234000000000001</v>
      </c>
      <c r="G444" s="8">
        <v>2960300</v>
      </c>
      <c r="H444" s="7">
        <v>49.749776283354521</v>
      </c>
      <c r="I444" s="4">
        <v>28070.735794640001</v>
      </c>
      <c r="J444" s="11">
        <v>1.4623999999999999</v>
      </c>
      <c r="K444" s="11">
        <v>45.830500000000001</v>
      </c>
      <c r="L444" s="7">
        <v>1</v>
      </c>
      <c r="M444" s="8">
        <v>93.431399999999996</v>
      </c>
      <c r="N444" s="8">
        <v>12.623744933251173</v>
      </c>
      <c r="O444" s="8">
        <v>3.3901692198326063E-3</v>
      </c>
      <c r="P444" s="8">
        <v>0.10232449029356537</v>
      </c>
      <c r="Q444" s="8">
        <v>0.36469709767312541</v>
      </c>
      <c r="R444" s="3">
        <v>6.6548852288012021E-3</v>
      </c>
      <c r="S444" s="33">
        <v>6.1502916934285043E-2</v>
      </c>
      <c r="T444" s="5">
        <v>60.9</v>
      </c>
      <c r="U444" s="34">
        <v>2.9720791666666666E-2</v>
      </c>
      <c r="V444">
        <v>7.7517500000000004</v>
      </c>
    </row>
    <row r="445" spans="1:22" ht="16" x14ac:dyDescent="0.2">
      <c r="A445" s="2" t="s">
        <v>39</v>
      </c>
      <c r="B445" s="5">
        <v>2016</v>
      </c>
      <c r="C445" s="8">
        <v>5.6641540241038486</v>
      </c>
      <c r="D445" s="4">
        <v>3.4203027110949553</v>
      </c>
      <c r="E445" s="6">
        <v>-1.8732216227708039E-2</v>
      </c>
      <c r="F445" s="11">
        <v>1.0275000000000001</v>
      </c>
      <c r="G445" s="8">
        <v>3117099</v>
      </c>
      <c r="H445" s="7">
        <v>5.2967266831064421</v>
      </c>
      <c r="I445" s="4">
        <v>29427.037488060003</v>
      </c>
      <c r="J445" s="11">
        <v>1.3440000000000001</v>
      </c>
      <c r="K445" s="11">
        <v>44.235700000000001</v>
      </c>
      <c r="L445" s="7">
        <v>1</v>
      </c>
      <c r="M445" s="8">
        <v>106.2042</v>
      </c>
      <c r="N445" s="8">
        <v>12.734780510595655</v>
      </c>
      <c r="O445" s="8">
        <v>3.4340869089005432E-3</v>
      </c>
      <c r="P445" s="8">
        <v>0.14367791059738969</v>
      </c>
      <c r="Q445" s="8">
        <v>0.41811571506553097</v>
      </c>
      <c r="R445" s="3">
        <v>6.7357699883392698E-3</v>
      </c>
      <c r="S445" s="33">
        <v>3.7088649642907798E-2</v>
      </c>
      <c r="T445" s="5">
        <v>61.6</v>
      </c>
      <c r="U445" s="34">
        <v>9.6016116666666665E-2</v>
      </c>
      <c r="V445">
        <v>7.7622499999999999</v>
      </c>
    </row>
    <row r="446" spans="1:22" ht="16" x14ac:dyDescent="0.2">
      <c r="A446" s="2" t="s">
        <v>39</v>
      </c>
      <c r="B446" s="5">
        <v>2017</v>
      </c>
      <c r="C446" s="8">
        <v>3.084646220594482</v>
      </c>
      <c r="D446" s="4">
        <v>0.71492119445756386</v>
      </c>
      <c r="E446" s="6">
        <v>4.5199511241051146E-3</v>
      </c>
      <c r="F446" s="11">
        <v>1.0659000000000001</v>
      </c>
      <c r="G446" s="8">
        <v>2975157</v>
      </c>
      <c r="H446" s="7">
        <v>-4.5536571023249506</v>
      </c>
      <c r="I446" s="4">
        <v>26604.859311520002</v>
      </c>
      <c r="J446" s="11">
        <v>1.5747</v>
      </c>
      <c r="K446" s="11">
        <v>47.309899999999999</v>
      </c>
      <c r="L446" s="7">
        <v>1</v>
      </c>
      <c r="M446" s="8">
        <v>140.0549</v>
      </c>
      <c r="N446" s="8">
        <v>12.841105473191869</v>
      </c>
      <c r="O446" s="8">
        <v>4.2098137310748237E-3</v>
      </c>
      <c r="P446" s="8">
        <v>0.21138358187457401</v>
      </c>
      <c r="Q446" s="8">
        <v>0.58718197659535409</v>
      </c>
      <c r="R446" s="3">
        <v>6.7961893468831015E-3</v>
      </c>
      <c r="S446" s="33">
        <v>6.3619496879427528E-2</v>
      </c>
      <c r="T446" s="5">
        <v>60.7</v>
      </c>
      <c r="U446" s="34">
        <v>8.6409499999999997E-3</v>
      </c>
      <c r="V446">
        <v>7.7932499999999996</v>
      </c>
    </row>
    <row r="447" spans="1:22" ht="16" x14ac:dyDescent="0.2">
      <c r="A447" s="2" t="s">
        <v>39</v>
      </c>
      <c r="B447" s="5">
        <v>2018</v>
      </c>
      <c r="C447" s="8">
        <v>2.8578472073020755</v>
      </c>
      <c r="D447" s="4">
        <v>1.3999183279676473</v>
      </c>
      <c r="E447" s="6">
        <v>-9.3506854318441411E-5</v>
      </c>
      <c r="F447" s="11">
        <v>1.0089999999999999</v>
      </c>
      <c r="G447" s="8">
        <v>3331806</v>
      </c>
      <c r="H447" s="7">
        <v>11.987569059380732</v>
      </c>
      <c r="I447" s="4">
        <v>30419.795514680005</v>
      </c>
      <c r="J447" s="11">
        <v>1.6292</v>
      </c>
      <c r="K447" s="11">
        <v>41.944699999999997</v>
      </c>
      <c r="L447" s="7">
        <v>1</v>
      </c>
      <c r="M447" s="8">
        <v>91.371200000000002</v>
      </c>
      <c r="N447" s="8">
        <v>12.870032520477656</v>
      </c>
      <c r="O447" s="8">
        <v>4.9549400026441866E-3</v>
      </c>
      <c r="P447" s="8">
        <v>0.10961424472632109</v>
      </c>
      <c r="Q447" s="8">
        <v>0.68572507470255206</v>
      </c>
      <c r="R447" s="3">
        <v>7.0672145050793746E-3</v>
      </c>
      <c r="S447" s="33">
        <v>5.994545160322088E-2</v>
      </c>
      <c r="T447" s="5">
        <v>57.6</v>
      </c>
      <c r="U447" s="34">
        <v>1.4011116666666665E-2</v>
      </c>
      <c r="V447">
        <v>7.8384999999999998</v>
      </c>
    </row>
    <row r="448" spans="1:22" ht="16" x14ac:dyDescent="0.2">
      <c r="A448" s="2" t="s">
        <v>39</v>
      </c>
      <c r="B448" s="5">
        <v>2019</v>
      </c>
      <c r="C448" s="8">
        <v>2.8202352671246458</v>
      </c>
      <c r="D448" s="4">
        <v>0.86318069071511094</v>
      </c>
      <c r="E448" s="6">
        <v>5.0650555730309809E-3</v>
      </c>
      <c r="F448" s="11">
        <v>0.99460000000000004</v>
      </c>
      <c r="G448" s="8">
        <v>3314666</v>
      </c>
      <c r="H448" s="7">
        <v>-0.51443571444435843</v>
      </c>
      <c r="I448" s="4">
        <v>41296.892204969998</v>
      </c>
      <c r="J448" s="11">
        <v>1.5984</v>
      </c>
      <c r="K448" s="11">
        <v>47.605800000000002</v>
      </c>
      <c r="L448" s="7">
        <v>1</v>
      </c>
      <c r="M448" s="8">
        <v>102.2731</v>
      </c>
      <c r="N448" s="8">
        <v>12.967600630335459</v>
      </c>
      <c r="O448" s="8">
        <v>6.0758298452089493E-3</v>
      </c>
      <c r="P448" s="8">
        <v>0.13735286177842757</v>
      </c>
      <c r="Q448" s="8">
        <v>0.42885375745071297</v>
      </c>
      <c r="R448" s="3">
        <v>6.9129580652956971E-3</v>
      </c>
      <c r="S448" s="33">
        <v>3.714056185031663E-3</v>
      </c>
      <c r="T448" s="5">
        <v>57.9</v>
      </c>
      <c r="U448" s="34">
        <v>4.1567483333333342E-2</v>
      </c>
      <c r="V448">
        <v>7.8359166666666704</v>
      </c>
    </row>
    <row r="449" spans="1:22" ht="16" x14ac:dyDescent="0.2">
      <c r="A449" s="2" t="s">
        <v>39</v>
      </c>
      <c r="B449" s="5">
        <v>2020</v>
      </c>
      <c r="C449" s="8">
        <v>2.2445797148147353</v>
      </c>
      <c r="D449" s="4">
        <v>0.50258857325971884</v>
      </c>
      <c r="E449" s="6">
        <v>1.2138216955132074E-2</v>
      </c>
      <c r="F449" s="11">
        <v>0.98029999999999995</v>
      </c>
      <c r="G449" s="8">
        <v>2746216</v>
      </c>
      <c r="H449" s="7">
        <v>-17.149540858716986</v>
      </c>
      <c r="I449" s="4">
        <v>51525.596074289999</v>
      </c>
      <c r="J449" s="11">
        <v>1.2774000000000001</v>
      </c>
      <c r="K449" s="11">
        <v>50.252499999999998</v>
      </c>
      <c r="L449" s="7">
        <v>1</v>
      </c>
      <c r="M449" s="8">
        <v>149.17349999999999</v>
      </c>
      <c r="N449" s="8">
        <v>13.053534464404022</v>
      </c>
      <c r="O449" s="8">
        <v>6.1484372531743362E-3</v>
      </c>
      <c r="P449" s="8">
        <v>0.14615150682923264</v>
      </c>
      <c r="Q449" s="8">
        <v>0.27463028870375783</v>
      </c>
      <c r="R449" s="3">
        <v>6.8938948540604216E-3</v>
      </c>
      <c r="S449" s="33">
        <v>-4.9938533014777367E-2</v>
      </c>
      <c r="T449" s="5">
        <v>57.5</v>
      </c>
      <c r="U449" s="34">
        <v>0.25270476666666669</v>
      </c>
      <c r="V449">
        <v>7.75725</v>
      </c>
    </row>
    <row r="450" spans="1:22" ht="16" x14ac:dyDescent="0.2">
      <c r="A450" s="2" t="s">
        <v>39</v>
      </c>
      <c r="B450" s="5">
        <v>2021</v>
      </c>
      <c r="C450" s="8">
        <v>1.819102140136688</v>
      </c>
      <c r="D450" s="4">
        <v>-1.7659439120064713</v>
      </c>
      <c r="E450" s="6">
        <v>3.0241740839424082E-2</v>
      </c>
      <c r="F450" s="11">
        <v>0.9859</v>
      </c>
      <c r="G450" s="8">
        <v>3072376</v>
      </c>
      <c r="H450" s="7">
        <v>11.876705983797342</v>
      </c>
      <c r="I450" s="4">
        <v>55402.416285029998</v>
      </c>
      <c r="J450" s="11">
        <v>1.0713999999999999</v>
      </c>
      <c r="K450" s="11">
        <v>50.324100000000001</v>
      </c>
      <c r="L450" s="7">
        <v>1</v>
      </c>
      <c r="M450" s="8">
        <v>96.509200000000007</v>
      </c>
      <c r="N450" s="8">
        <v>13.065454892988242</v>
      </c>
      <c r="O450" s="8">
        <v>6.9408649919344995E-3</v>
      </c>
      <c r="P450" s="8">
        <v>0.14657459649214111</v>
      </c>
      <c r="Q450" s="8">
        <v>0.68094603016463529</v>
      </c>
      <c r="R450" s="3">
        <v>6.9697472327338071E-3</v>
      </c>
      <c r="S450" s="33">
        <v>6.9484604300285288E-2</v>
      </c>
      <c r="T450" s="5">
        <v>58.8</v>
      </c>
      <c r="U450" s="34">
        <v>0.30359063333333336</v>
      </c>
      <c r="V450">
        <v>7.77325</v>
      </c>
    </row>
    <row r="451" spans="1:22" ht="16" x14ac:dyDescent="0.2">
      <c r="A451" s="2" t="s">
        <v>39</v>
      </c>
      <c r="B451" s="5">
        <v>2022</v>
      </c>
      <c r="C451" s="8">
        <v>1.9969075055618837</v>
      </c>
      <c r="D451" s="4">
        <v>4.2878366769053144</v>
      </c>
      <c r="E451" s="6">
        <v>-2.5667491403431733E-2</v>
      </c>
      <c r="F451" s="11">
        <v>0.98770000000000002</v>
      </c>
      <c r="G451" s="8">
        <v>3457707</v>
      </c>
      <c r="H451" s="7">
        <v>12.541791759862726</v>
      </c>
      <c r="I451" s="4">
        <v>111802.93935263999</v>
      </c>
      <c r="J451" s="11">
        <v>1.2586999999999999</v>
      </c>
      <c r="K451" s="11">
        <v>45.365099999999998</v>
      </c>
      <c r="L451" s="7">
        <v>1</v>
      </c>
      <c r="S451" s="33">
        <v>-2.4593410066074222E-2</v>
      </c>
      <c r="T451" s="5">
        <v>62.5</v>
      </c>
      <c r="U451" s="34">
        <v>0.14945029999999998</v>
      </c>
      <c r="V451">
        <v>7.8314166666666702</v>
      </c>
    </row>
    <row r="452" spans="1:22" x14ac:dyDescent="0.2">
      <c r="A452" s="2"/>
      <c r="C452" s="8"/>
      <c r="D452" s="4"/>
      <c r="E452" s="6"/>
      <c r="F452" s="11"/>
      <c r="G452" s="8"/>
      <c r="I452" s="4"/>
      <c r="J452" s="11"/>
      <c r="K452" s="11"/>
      <c r="L452" s="7"/>
      <c r="U452" s="34"/>
    </row>
    <row r="453" spans="1:22" ht="16" x14ac:dyDescent="0.2">
      <c r="A453" s="2" t="s">
        <v>96</v>
      </c>
      <c r="B453" s="5">
        <v>2014</v>
      </c>
      <c r="C453" s="24">
        <v>6.6859253318356355</v>
      </c>
      <c r="D453" s="25">
        <v>-0.20119852692719997</v>
      </c>
      <c r="E453" s="16"/>
      <c r="F453" s="26">
        <v>1.0298</v>
      </c>
      <c r="G453" s="29">
        <v>78962.627999999997</v>
      </c>
      <c r="H453" s="7">
        <v>-5.030424852989678</v>
      </c>
      <c r="I453" s="4">
        <v>96558.357213439987</v>
      </c>
      <c r="J453" s="26">
        <v>1.7208000000000001</v>
      </c>
      <c r="K453" s="26">
        <v>39.924999999999997</v>
      </c>
      <c r="L453" s="7">
        <v>1</v>
      </c>
      <c r="M453" s="26">
        <v>144.39519999999999</v>
      </c>
      <c r="N453" s="24">
        <v>12.621094174575948</v>
      </c>
      <c r="O453" s="24">
        <v>1.090167608665121E-2</v>
      </c>
      <c r="P453" s="24">
        <v>1.1422789593839206E-2</v>
      </c>
      <c r="Q453" s="24">
        <v>0.61719752885641443</v>
      </c>
      <c r="R453" s="3">
        <v>8.5460602836576315E-3</v>
      </c>
      <c r="S453" s="33">
        <v>5.7175487891084675E-2</v>
      </c>
      <c r="T453" s="5">
        <v>61.4</v>
      </c>
      <c r="U453" s="34">
        <v>7.7804516666666657E-2</v>
      </c>
      <c r="V453">
        <v>7.7540833333333303</v>
      </c>
    </row>
    <row r="454" spans="1:22" ht="16" x14ac:dyDescent="0.2">
      <c r="A454" s="2" t="s">
        <v>96</v>
      </c>
      <c r="B454" s="5">
        <v>2015</v>
      </c>
      <c r="C454" s="24">
        <v>6.4331647755393488</v>
      </c>
      <c r="D454" s="25">
        <v>1.0345868671029599</v>
      </c>
      <c r="E454" s="16"/>
      <c r="F454" s="26">
        <v>1.0067999999999999</v>
      </c>
      <c r="G454" s="29">
        <v>115221.781</v>
      </c>
      <c r="H454" s="7">
        <v>45.919384800617337</v>
      </c>
      <c r="I454" s="4">
        <v>138938.46084186004</v>
      </c>
      <c r="J454" s="26">
        <v>1.7017</v>
      </c>
      <c r="K454" s="26">
        <v>44.040300000000002</v>
      </c>
      <c r="L454" s="7">
        <v>1</v>
      </c>
      <c r="M454" s="26">
        <v>95.728800000000007</v>
      </c>
      <c r="N454" s="24">
        <v>12.525775629098737</v>
      </c>
      <c r="O454" s="24">
        <v>1.1613528693169207E-2</v>
      </c>
      <c r="P454" s="24">
        <v>6.6047099955452247E-3</v>
      </c>
      <c r="Q454" s="24">
        <v>0.73723463003254375</v>
      </c>
      <c r="R454" s="3">
        <v>8.5539728727091272E-3</v>
      </c>
      <c r="S454" s="33">
        <v>6.1502916934285043E-2</v>
      </c>
      <c r="T454" s="5">
        <v>60.9</v>
      </c>
      <c r="U454" s="34">
        <v>2.9720791666666666E-2</v>
      </c>
      <c r="V454">
        <v>7.7517500000000004</v>
      </c>
    </row>
    <row r="455" spans="1:22" ht="16" x14ac:dyDescent="0.2">
      <c r="A455" s="2" t="s">
        <v>96</v>
      </c>
      <c r="B455" s="5">
        <v>2016</v>
      </c>
      <c r="C455" s="24">
        <v>5.7396243967290079</v>
      </c>
      <c r="D455" s="25">
        <v>1.1593440477905528</v>
      </c>
      <c r="E455" s="16"/>
      <c r="F455" s="26">
        <v>1.0032000000000001</v>
      </c>
      <c r="G455" s="29">
        <v>309991.50599999999</v>
      </c>
      <c r="H455" s="7">
        <v>169.03898144049688</v>
      </c>
      <c r="I455" s="4">
        <v>192363.10284519999</v>
      </c>
      <c r="J455" s="26">
        <v>1.7017</v>
      </c>
      <c r="K455" s="26">
        <v>46.587800000000001</v>
      </c>
      <c r="L455" s="7">
        <v>1</v>
      </c>
      <c r="M455" s="26">
        <v>77.410200000000003</v>
      </c>
      <c r="N455" s="24">
        <v>12.554274177092516</v>
      </c>
      <c r="O455" s="24">
        <v>1.508957532272719E-2</v>
      </c>
      <c r="P455" s="24">
        <v>8.1464502600428566E-3</v>
      </c>
      <c r="Q455" s="24">
        <v>0.85496387749837666</v>
      </c>
      <c r="R455" s="3">
        <v>8.4192711648573559E-3</v>
      </c>
      <c r="S455" s="33">
        <v>3.7088649642907798E-2</v>
      </c>
      <c r="T455" s="5">
        <v>61.6</v>
      </c>
      <c r="U455" s="34">
        <v>9.6016116666666665E-2</v>
      </c>
      <c r="V455">
        <v>7.7622499999999999</v>
      </c>
    </row>
    <row r="456" spans="1:22" ht="16" x14ac:dyDescent="0.2">
      <c r="A456" s="2" t="s">
        <v>96</v>
      </c>
      <c r="B456" s="5">
        <v>2017</v>
      </c>
      <c r="C456" s="24">
        <v>6.1274997088495367</v>
      </c>
      <c r="D456" s="25">
        <v>1.7033107020597142</v>
      </c>
      <c r="E456" s="16"/>
      <c r="F456" s="26">
        <v>1.0286</v>
      </c>
      <c r="G456" s="4">
        <v>477899</v>
      </c>
      <c r="H456" s="7">
        <v>54.165191868192672</v>
      </c>
      <c r="I456" s="4">
        <v>255507.97929399999</v>
      </c>
      <c r="J456" s="26">
        <v>1.6726000000000001</v>
      </c>
      <c r="K456" s="26">
        <v>44.045099999999998</v>
      </c>
      <c r="L456" s="7">
        <v>1</v>
      </c>
      <c r="M456" s="26">
        <v>95.0381</v>
      </c>
      <c r="N456" s="24">
        <v>12.732841465914639</v>
      </c>
      <c r="O456" s="24">
        <v>1.3398390931626132E-2</v>
      </c>
      <c r="P456" s="24">
        <v>9.9146441816408692E-3</v>
      </c>
      <c r="Q456" s="24">
        <v>0.7844816360220408</v>
      </c>
      <c r="R456" s="3">
        <v>8.3669164072881393E-3</v>
      </c>
      <c r="S456" s="33">
        <v>6.3619496879427528E-2</v>
      </c>
      <c r="T456" s="5">
        <v>60.7</v>
      </c>
      <c r="U456" s="34">
        <v>8.6409499999999997E-3</v>
      </c>
      <c r="V456">
        <v>7.7932499999999996</v>
      </c>
    </row>
    <row r="457" spans="1:22" ht="16" x14ac:dyDescent="0.2">
      <c r="A457" s="2" t="s">
        <v>96</v>
      </c>
      <c r="B457" s="5">
        <v>2018</v>
      </c>
      <c r="C457" s="24">
        <v>6.3593954624044073</v>
      </c>
      <c r="D457" s="25">
        <v>1.5528547451556853</v>
      </c>
      <c r="E457" s="16"/>
      <c r="F457" s="26">
        <v>1.0124</v>
      </c>
      <c r="G457" s="4">
        <v>523728</v>
      </c>
      <c r="H457" s="7">
        <v>9.5896831757337839</v>
      </c>
      <c r="I457" s="4">
        <v>281589.17127583997</v>
      </c>
      <c r="J457" s="26">
        <v>1.7323999999999999</v>
      </c>
      <c r="K457" s="26">
        <v>44.296100000000003</v>
      </c>
      <c r="L457" s="7">
        <v>1</v>
      </c>
      <c r="M457" s="26">
        <v>87.225300000000004</v>
      </c>
      <c r="N457" s="24">
        <v>12.74555842787842</v>
      </c>
      <c r="O457" s="24">
        <v>9.7461344421810505E-3</v>
      </c>
      <c r="P457" s="24">
        <v>1.0885289809960636E-2</v>
      </c>
      <c r="Q457" s="24">
        <v>1.0122075202232235</v>
      </c>
      <c r="R457" s="3">
        <v>8.7235735667015226E-3</v>
      </c>
      <c r="S457" s="33">
        <v>5.994545160322088E-2</v>
      </c>
      <c r="T457" s="5">
        <v>57.6</v>
      </c>
      <c r="U457" s="34">
        <v>1.4011116666666665E-2</v>
      </c>
      <c r="V457">
        <v>7.8384999999999998</v>
      </c>
    </row>
    <row r="458" spans="1:22" ht="16" x14ac:dyDescent="0.2">
      <c r="A458" s="2" t="s">
        <v>96</v>
      </c>
      <c r="B458" s="5">
        <v>2019</v>
      </c>
      <c r="C458" s="24">
        <v>6.6273099638138424</v>
      </c>
      <c r="D458" s="25">
        <v>0.53974733408490705</v>
      </c>
      <c r="E458" s="16"/>
      <c r="F458" s="26">
        <v>1.0024</v>
      </c>
      <c r="G458" s="4">
        <v>788443</v>
      </c>
      <c r="H458" s="7">
        <v>50.54436654141081</v>
      </c>
      <c r="I458" s="4">
        <v>285448.18193213997</v>
      </c>
      <c r="J458" s="26">
        <v>1.7975000000000001</v>
      </c>
      <c r="K458" s="26">
        <v>43.621400000000001</v>
      </c>
      <c r="L458" s="7">
        <v>1</v>
      </c>
      <c r="M458" s="26">
        <v>78.043099999999995</v>
      </c>
      <c r="N458" s="24">
        <v>12.80950821647879</v>
      </c>
      <c r="O458" s="24">
        <v>1.0304490036351924E-2</v>
      </c>
      <c r="P458" s="24">
        <v>4.3835251883336847E-3</v>
      </c>
      <c r="Q458" s="24">
        <v>1.1017661357600075</v>
      </c>
      <c r="R458" s="3">
        <v>8.7426957827579713E-3</v>
      </c>
      <c r="S458" s="33">
        <v>3.714056185031663E-3</v>
      </c>
      <c r="T458" s="5">
        <v>57.9</v>
      </c>
      <c r="U458" s="34">
        <v>4.1567483333333342E-2</v>
      </c>
      <c r="V458">
        <v>7.8359166666666704</v>
      </c>
    </row>
    <row r="459" spans="1:22" ht="16" x14ac:dyDescent="0.2">
      <c r="A459" s="2" t="s">
        <v>96</v>
      </c>
      <c r="B459" s="5">
        <v>2020</v>
      </c>
      <c r="C459" s="24">
        <v>4.7946550173365452</v>
      </c>
      <c r="D459" s="25">
        <v>0.33680323149909386</v>
      </c>
      <c r="E459" s="16"/>
      <c r="F459" s="26">
        <v>0.99119999999999997</v>
      </c>
      <c r="G459" s="4">
        <v>780770</v>
      </c>
      <c r="H459" s="7">
        <v>-0.97318385729849832</v>
      </c>
      <c r="I459" s="4">
        <v>296468.67740842002</v>
      </c>
      <c r="J459" s="26">
        <v>1.6357999999999999</v>
      </c>
      <c r="K459" s="26">
        <v>45.990699999999997</v>
      </c>
      <c r="L459" s="7">
        <v>1</v>
      </c>
      <c r="M459" s="26">
        <v>66.865300000000005</v>
      </c>
      <c r="N459" s="24">
        <v>12.885647090328209</v>
      </c>
      <c r="O459" s="24">
        <v>1.3852716559920436E-2</v>
      </c>
      <c r="P459" s="24">
        <v>5.3532488696164462E-3</v>
      </c>
      <c r="Q459" s="24">
        <v>0.89417392039500898</v>
      </c>
      <c r="R459" s="3">
        <v>8.4863166759808761E-3</v>
      </c>
      <c r="S459" s="33">
        <v>-4.9938533014777367E-2</v>
      </c>
      <c r="T459" s="5">
        <v>57.5</v>
      </c>
      <c r="U459" s="34">
        <v>0.25270476666666669</v>
      </c>
      <c r="V459">
        <v>7.75725</v>
      </c>
    </row>
    <row r="460" spans="1:22" ht="16" x14ac:dyDescent="0.2">
      <c r="A460" s="2" t="s">
        <v>96</v>
      </c>
      <c r="B460" s="5">
        <v>2021</v>
      </c>
      <c r="C460" s="24">
        <v>6.0299303407096136</v>
      </c>
      <c r="D460" s="25">
        <v>0.99834248172245998</v>
      </c>
      <c r="E460" s="16"/>
      <c r="F460" s="26">
        <v>0.99729999999999996</v>
      </c>
      <c r="G460" s="4">
        <v>1125957</v>
      </c>
      <c r="H460" s="7">
        <v>44.211099299409554</v>
      </c>
      <c r="I460" s="4">
        <v>312775.43322298001</v>
      </c>
      <c r="J460" s="26">
        <v>1.5718000000000001</v>
      </c>
      <c r="K460" s="26">
        <v>47.093200000000003</v>
      </c>
      <c r="L460" s="7">
        <v>1</v>
      </c>
      <c r="M460" s="26">
        <v>52.6004</v>
      </c>
      <c r="N460" s="24">
        <v>12.905041006843309</v>
      </c>
      <c r="O460" s="24">
        <v>1.1856438919257155E-2</v>
      </c>
      <c r="P460" s="24">
        <v>9.2514160936532572E-3</v>
      </c>
      <c r="Q460" s="24">
        <v>0.32331135789878779</v>
      </c>
      <c r="R460" s="3">
        <v>8.4614581575816854E-3</v>
      </c>
      <c r="S460" s="33">
        <v>6.9484604300285288E-2</v>
      </c>
      <c r="T460" s="5">
        <v>58.8</v>
      </c>
      <c r="U460" s="34">
        <v>0.30359063333333336</v>
      </c>
      <c r="V460">
        <v>7.77325</v>
      </c>
    </row>
    <row r="461" spans="1:22" ht="16" x14ac:dyDescent="0.2">
      <c r="A461" s="2" t="s">
        <v>96</v>
      </c>
      <c r="B461" s="5">
        <v>2022</v>
      </c>
      <c r="C461" s="24">
        <v>6.7854207982379648</v>
      </c>
      <c r="D461" s="25">
        <v>1.2163722519571492</v>
      </c>
      <c r="E461" s="16"/>
      <c r="F461" s="26">
        <v>1.0029999999999999</v>
      </c>
      <c r="G461" s="4">
        <v>1262313</v>
      </c>
      <c r="H461" s="7">
        <v>12.110231563017059</v>
      </c>
      <c r="I461" s="4">
        <v>252670.21299395998</v>
      </c>
      <c r="J461" s="26">
        <v>1.9454</v>
      </c>
      <c r="K461" s="26">
        <v>45.301900000000003</v>
      </c>
      <c r="L461" s="7">
        <v>1</v>
      </c>
      <c r="M461" s="26">
        <v>58.901000000000003</v>
      </c>
      <c r="N461" s="24">
        <v>12.943690421483614</v>
      </c>
      <c r="O461" s="24">
        <v>1.1909281979230146E-2</v>
      </c>
      <c r="P461" s="24">
        <v>9.418925313248748E-3</v>
      </c>
      <c r="Q461" s="24">
        <v>0.65458814741187865</v>
      </c>
      <c r="R461" s="3">
        <v>8.4260468072922118E-3</v>
      </c>
      <c r="S461" s="33">
        <v>-2.4593410066074222E-2</v>
      </c>
      <c r="T461" s="5">
        <v>62.5</v>
      </c>
      <c r="U461" s="34">
        <v>0.14945029999999998</v>
      </c>
      <c r="V461">
        <v>7.8314166666666702</v>
      </c>
    </row>
    <row r="462" spans="1:22" x14ac:dyDescent="0.2">
      <c r="A462" s="5" t="s">
        <v>40</v>
      </c>
      <c r="L462" s="7"/>
      <c r="U462" s="34"/>
    </row>
    <row r="463" spans="1:22" ht="16" x14ac:dyDescent="0.2">
      <c r="A463" s="2" t="s">
        <v>41</v>
      </c>
      <c r="B463" s="5">
        <v>2014</v>
      </c>
      <c r="C463" s="8">
        <v>9.1841850978084683</v>
      </c>
      <c r="D463" s="4">
        <v>0.73870200985130796</v>
      </c>
      <c r="E463" s="6">
        <v>5.6058682795272045E-4</v>
      </c>
      <c r="F463" s="11">
        <v>1.0304</v>
      </c>
      <c r="G463" s="8">
        <v>1877157</v>
      </c>
      <c r="H463" s="7">
        <v>20.434258467385703</v>
      </c>
      <c r="I463" s="4">
        <v>182593.4682759</v>
      </c>
      <c r="J463" s="11">
        <v>1.7</v>
      </c>
      <c r="K463" s="11">
        <v>44.264499999999998</v>
      </c>
      <c r="L463" s="7">
        <v>1</v>
      </c>
      <c r="M463" s="8">
        <v>131.8535</v>
      </c>
      <c r="N463" s="8">
        <v>12.714856479260838</v>
      </c>
      <c r="O463" s="8">
        <v>1.2774310724238935E-2</v>
      </c>
      <c r="P463" s="8">
        <v>3.5625665920157007E-2</v>
      </c>
      <c r="Q463" s="8">
        <v>0.54513384785824015</v>
      </c>
      <c r="R463" s="3">
        <v>8.8013199932032195E-3</v>
      </c>
      <c r="S463" s="33">
        <v>2.3692393523361884E-2</v>
      </c>
      <c r="T463" s="5">
        <v>86.7</v>
      </c>
      <c r="U463" s="34">
        <v>3.9348241666666665E-2</v>
      </c>
      <c r="V463">
        <v>1.26705</v>
      </c>
    </row>
    <row r="464" spans="1:22" ht="16" x14ac:dyDescent="0.2">
      <c r="A464" s="2" t="s">
        <v>41</v>
      </c>
      <c r="B464" s="5">
        <v>2015</v>
      </c>
      <c r="C464" s="8">
        <v>9.4753409362519907</v>
      </c>
      <c r="D464" s="4">
        <v>1.8393648584534599</v>
      </c>
      <c r="E464" s="6">
        <v>-6.1981482420151975E-3</v>
      </c>
      <c r="F464" s="11">
        <v>1.0035000000000001</v>
      </c>
      <c r="G464" s="8">
        <v>2069594</v>
      </c>
      <c r="H464" s="7">
        <v>10.251513325736738</v>
      </c>
      <c r="I464" s="4">
        <v>184316.06591964999</v>
      </c>
      <c r="J464" s="11">
        <v>1.7875000000000001</v>
      </c>
      <c r="K464" s="11">
        <v>45.266100000000002</v>
      </c>
      <c r="L464" s="7">
        <v>1</v>
      </c>
      <c r="M464" s="8">
        <v>141.02950000000001</v>
      </c>
      <c r="N464" s="8">
        <v>12.685649422189989</v>
      </c>
      <c r="O464" s="8">
        <v>1.248644856228899E-2</v>
      </c>
      <c r="P464" s="8">
        <v>3.7384147527344778E-2</v>
      </c>
      <c r="Q464" s="8">
        <v>0.480544014776074</v>
      </c>
      <c r="R464" s="3">
        <v>8.9609659299633767E-3</v>
      </c>
      <c r="S464" s="33">
        <v>-2.180320592340327E-2</v>
      </c>
      <c r="T464" s="5">
        <v>87.6</v>
      </c>
      <c r="U464" s="34">
        <v>0.11972595833333333</v>
      </c>
      <c r="V464">
        <v>1.374825</v>
      </c>
    </row>
    <row r="465" spans="1:22" ht="16" x14ac:dyDescent="0.2">
      <c r="A465" s="2" t="s">
        <v>41</v>
      </c>
      <c r="B465" s="5">
        <v>2016</v>
      </c>
      <c r="C465" s="8">
        <v>8.7326000842210707</v>
      </c>
      <c r="D465" s="4">
        <v>1.4604668792946356</v>
      </c>
      <c r="E465" s="6">
        <v>-1.5682118280355972E-3</v>
      </c>
      <c r="F465" s="11">
        <v>0.99870000000000003</v>
      </c>
      <c r="G465" s="8">
        <v>2070543</v>
      </c>
      <c r="H465" s="7">
        <v>4.5854404293789022E-2</v>
      </c>
      <c r="I465" s="4">
        <v>305225.11059529998</v>
      </c>
      <c r="J465" s="11">
        <v>1.8161</v>
      </c>
      <c r="K465" s="11">
        <v>42.867100000000001</v>
      </c>
      <c r="L465" s="7">
        <v>1</v>
      </c>
      <c r="M465" s="8">
        <v>99.557199999999995</v>
      </c>
      <c r="N465" s="8">
        <v>12.715452657602903</v>
      </c>
      <c r="O465" s="8">
        <v>1.2766236052344558E-2</v>
      </c>
      <c r="P465" s="8">
        <v>6.0483372301820937E-2</v>
      </c>
      <c r="Q465" s="8">
        <v>0.44321480844253874</v>
      </c>
      <c r="R465" s="3">
        <v>8.790286505886636E-3</v>
      </c>
      <c r="S465" s="33">
        <v>3.5816495107943415E-2</v>
      </c>
      <c r="T465" s="5">
        <v>87.2</v>
      </c>
      <c r="U465" s="34">
        <v>0.17217984166666667</v>
      </c>
      <c r="V465">
        <v>1.3815463636363601</v>
      </c>
    </row>
    <row r="466" spans="1:22" ht="16" x14ac:dyDescent="0.2">
      <c r="A466" s="2" t="s">
        <v>41</v>
      </c>
      <c r="B466" s="5">
        <v>2017</v>
      </c>
      <c r="C466" s="8">
        <v>8.4807224361591711</v>
      </c>
      <c r="D466" s="4">
        <v>1.7728637693495175</v>
      </c>
      <c r="E466" s="6">
        <v>-6.822213173752101E-3</v>
      </c>
      <c r="F466" s="11">
        <v>1.0310999999999999</v>
      </c>
      <c r="G466" s="8">
        <v>1975967</v>
      </c>
      <c r="H466" s="7">
        <v>-4.5676906975609777</v>
      </c>
      <c r="I466" s="4">
        <v>412782.14326170005</v>
      </c>
      <c r="J466" s="11">
        <v>1.7576000000000001</v>
      </c>
      <c r="K466" s="11">
        <v>43.651499999999999</v>
      </c>
      <c r="L466" s="7">
        <v>1</v>
      </c>
      <c r="M466" s="8">
        <v>119.7884</v>
      </c>
      <c r="N466" s="8">
        <v>12.867043374366609</v>
      </c>
      <c r="O466" s="8">
        <v>1.4247838988052531E-2</v>
      </c>
      <c r="P466" s="8">
        <v>4.8260639238384376E-2</v>
      </c>
      <c r="Q466" s="8">
        <v>0.58612716151219668</v>
      </c>
      <c r="R466" s="3">
        <v>8.7724594829008927E-3</v>
      </c>
      <c r="S466" s="33">
        <v>7.5989427416575134E-2</v>
      </c>
      <c r="T466" s="5">
        <v>85</v>
      </c>
      <c r="U466" s="34">
        <v>6.2938825000000004E-2</v>
      </c>
      <c r="V466">
        <v>1.380925</v>
      </c>
    </row>
    <row r="467" spans="1:22" ht="16" x14ac:dyDescent="0.2">
      <c r="A467" s="2" t="s">
        <v>41</v>
      </c>
      <c r="B467" s="5">
        <v>2018</v>
      </c>
      <c r="C467" s="8">
        <v>9.9084029132352391</v>
      </c>
      <c r="D467" s="4">
        <v>1.5613570571092747</v>
      </c>
      <c r="E467" s="6">
        <v>-1.8010510557063663E-3</v>
      </c>
      <c r="F467" s="11">
        <v>1.0206999999999999</v>
      </c>
      <c r="G467" s="8">
        <v>2063378</v>
      </c>
      <c r="H467" s="7">
        <v>4.4237074809447723</v>
      </c>
      <c r="I467" s="4">
        <v>385242.84916026</v>
      </c>
      <c r="J467" s="11">
        <v>1.8525</v>
      </c>
      <c r="K467" s="11">
        <v>44.1023</v>
      </c>
      <c r="L467" s="7">
        <v>1</v>
      </c>
      <c r="M467" s="8">
        <v>144.27869999999999</v>
      </c>
      <c r="N467" s="8">
        <v>12.909349927664751</v>
      </c>
      <c r="O467" s="8">
        <v>1.3276323241805089E-2</v>
      </c>
      <c r="P467" s="8">
        <v>3.5194167599876154E-2</v>
      </c>
      <c r="Q467" s="8">
        <v>0.72706800195831256</v>
      </c>
      <c r="R467" s="3">
        <v>8.8790891308392714E-3</v>
      </c>
      <c r="S467" s="33">
        <v>9.7871719648500083E-2</v>
      </c>
      <c r="T467" s="5">
        <v>82.5</v>
      </c>
      <c r="U467" s="34">
        <v>3.5942166666666671E-2</v>
      </c>
      <c r="V467">
        <v>1.34884166666667</v>
      </c>
    </row>
    <row r="468" spans="1:22" ht="16" x14ac:dyDescent="0.2">
      <c r="A468" s="2" t="s">
        <v>41</v>
      </c>
      <c r="B468" s="5">
        <v>2019</v>
      </c>
      <c r="C468" s="8">
        <v>10.664011314033701</v>
      </c>
      <c r="D468" s="4">
        <v>0.95772635189998345</v>
      </c>
      <c r="E468" s="6">
        <v>3.8036423148915863E-4</v>
      </c>
      <c r="F468" s="11">
        <v>1.0261</v>
      </c>
      <c r="G468" s="8">
        <v>2184839</v>
      </c>
      <c r="H468" s="7">
        <v>5.8865123113651494</v>
      </c>
      <c r="I468" s="4">
        <v>401765.96208616003</v>
      </c>
      <c r="J468" s="11">
        <v>1.8887</v>
      </c>
      <c r="K468" s="11">
        <v>43.028100000000002</v>
      </c>
      <c r="L468" s="7">
        <v>1</v>
      </c>
      <c r="M468" s="8">
        <v>163.0128</v>
      </c>
      <c r="N468" s="8">
        <v>12.972867916943216</v>
      </c>
      <c r="O468" s="8">
        <v>1.2534938125659624E-2</v>
      </c>
      <c r="P468" s="8">
        <v>4.6298965704842071E-2</v>
      </c>
      <c r="Q468" s="8">
        <v>0.78699550940249208</v>
      </c>
      <c r="R468" s="3">
        <v>8.9645527668241846E-3</v>
      </c>
      <c r="S468" s="33">
        <v>-8.5168228921264549E-5</v>
      </c>
      <c r="T468" s="5">
        <v>80.3</v>
      </c>
      <c r="U468" s="34">
        <v>1.4968416666666666E-2</v>
      </c>
      <c r="V468">
        <v>1.36415833333333</v>
      </c>
    </row>
    <row r="469" spans="1:22" ht="16" x14ac:dyDescent="0.2">
      <c r="A469" s="2" t="s">
        <v>41</v>
      </c>
      <c r="B469" s="5">
        <v>2020</v>
      </c>
      <c r="C469" s="8">
        <v>7.444670063804101</v>
      </c>
      <c r="D469" s="4">
        <v>0.74913186856668923</v>
      </c>
      <c r="E469" s="6">
        <v>1.2219202334888548E-2</v>
      </c>
      <c r="F469" s="11">
        <v>1.0142</v>
      </c>
      <c r="G469" s="8">
        <v>2108704</v>
      </c>
      <c r="H469" s="7">
        <v>-3.484696126350729</v>
      </c>
      <c r="I469" s="4">
        <v>458542.49873615999</v>
      </c>
      <c r="J469" s="11">
        <v>1.6234999999999999</v>
      </c>
      <c r="K469" s="11">
        <v>42.2012</v>
      </c>
      <c r="L469" s="7">
        <v>1</v>
      </c>
      <c r="M469" s="8">
        <v>138.10919999999999</v>
      </c>
      <c r="N469" s="8">
        <v>13.106016152236135</v>
      </c>
      <c r="O469" s="8">
        <v>1.7468300913174646E-2</v>
      </c>
      <c r="P469" s="8">
        <v>8.5795110613370182E-2</v>
      </c>
      <c r="Q469" s="8">
        <v>0.58313164764245973</v>
      </c>
      <c r="R469" s="3">
        <v>8.1267083066294838E-3</v>
      </c>
      <c r="S469" s="33">
        <v>-7.5484298497911759E-2</v>
      </c>
      <c r="T469" s="5">
        <v>79.2</v>
      </c>
      <c r="U469" s="34">
        <v>0.14349582499999999</v>
      </c>
      <c r="V469">
        <v>1.37974166666667</v>
      </c>
    </row>
    <row r="470" spans="1:22" ht="16" x14ac:dyDescent="0.2">
      <c r="A470" s="2" t="s">
        <v>41</v>
      </c>
      <c r="B470" s="5">
        <v>2021</v>
      </c>
      <c r="C470" s="8">
        <v>9.6320935102944407</v>
      </c>
      <c r="D470" s="4">
        <v>1.6388600213635864</v>
      </c>
      <c r="E470" s="6">
        <v>-4.8231970232550129E-3</v>
      </c>
      <c r="F470" s="11">
        <v>1.0383</v>
      </c>
      <c r="G470" s="8">
        <v>2303224</v>
      </c>
      <c r="H470" s="7">
        <v>9.2246232757181659</v>
      </c>
      <c r="I470" s="4">
        <v>392572.64049509005</v>
      </c>
      <c r="J470" s="11">
        <v>1.4486000000000001</v>
      </c>
      <c r="K470" s="11">
        <v>46.299700000000001</v>
      </c>
      <c r="L470" s="7">
        <v>1</v>
      </c>
      <c r="M470" s="8">
        <v>151.4624</v>
      </c>
      <c r="N470" s="8">
        <v>13.140414082549308</v>
      </c>
      <c r="O470" s="8">
        <v>1.464565187832037E-2</v>
      </c>
      <c r="P470" s="8">
        <v>9.1709546937849565E-2</v>
      </c>
      <c r="Q470" s="8">
        <v>0.23060658885556942</v>
      </c>
      <c r="R470" s="3">
        <v>8.2690396571457759E-3</v>
      </c>
      <c r="S470" s="33">
        <v>0.21643660779288709</v>
      </c>
      <c r="T470" s="5">
        <v>81</v>
      </c>
      <c r="U470" s="34">
        <v>0.15038996666666665</v>
      </c>
      <c r="V470">
        <v>1.34348333333333</v>
      </c>
    </row>
    <row r="471" spans="1:22" ht="16" x14ac:dyDescent="0.2">
      <c r="A471" s="2" t="s">
        <v>41</v>
      </c>
      <c r="B471" s="5">
        <v>2022</v>
      </c>
      <c r="C471" s="8">
        <v>10.68</v>
      </c>
      <c r="D471" s="4">
        <v>7.870162164665194</v>
      </c>
      <c r="E471" s="6">
        <v>-6.7006219930481073E-2</v>
      </c>
      <c r="F471" s="11">
        <v>1.0407999999999999</v>
      </c>
      <c r="G471" s="8">
        <v>2600338</v>
      </c>
      <c r="H471" s="7">
        <v>12.899917680607706</v>
      </c>
      <c r="I471" s="4">
        <v>355417.62031644001</v>
      </c>
      <c r="J471" s="11">
        <v>1.7509999999999999</v>
      </c>
      <c r="K471" s="11">
        <v>42.964500000000001</v>
      </c>
      <c r="L471" s="7">
        <v>1</v>
      </c>
      <c r="M471" s="8">
        <v>159.9453</v>
      </c>
      <c r="N471" s="8">
        <v>13.227023423750799</v>
      </c>
      <c r="O471" s="8">
        <v>1.3716915133601819E-2</v>
      </c>
      <c r="P471" s="8">
        <v>7.9212266333149345E-2</v>
      </c>
      <c r="Q471" s="8">
        <v>0.54343323419997724</v>
      </c>
      <c r="R471" s="3">
        <v>7.9750233717733269E-3</v>
      </c>
      <c r="S471" s="33">
        <v>0.10144372128287374</v>
      </c>
      <c r="T471" s="5">
        <v>80.8</v>
      </c>
      <c r="U471" s="34">
        <v>0.24576475000000006</v>
      </c>
      <c r="V471">
        <v>1.37866666666667</v>
      </c>
    </row>
    <row r="472" spans="1:22" x14ac:dyDescent="0.2">
      <c r="U472" s="34"/>
    </row>
    <row r="473" spans="1:22" ht="16" x14ac:dyDescent="0.2">
      <c r="A473" s="2" t="s">
        <v>42</v>
      </c>
      <c r="B473" s="5">
        <v>2014</v>
      </c>
      <c r="C473" s="8">
        <v>15.9</v>
      </c>
      <c r="D473" s="4">
        <v>-0.19147552684837874</v>
      </c>
      <c r="E473" s="6">
        <v>9.723000078821235E-3</v>
      </c>
      <c r="F473" s="11">
        <v>1.0298</v>
      </c>
      <c r="G473" s="8">
        <v>1106361</v>
      </c>
      <c r="H473" s="7">
        <v>15.397878039418567</v>
      </c>
      <c r="I473" s="4">
        <v>96558.357213439987</v>
      </c>
      <c r="J473" s="11">
        <v>1.7208000000000001</v>
      </c>
      <c r="K473" s="11">
        <v>39.924999999999997</v>
      </c>
      <c r="L473" s="7">
        <v>1</v>
      </c>
      <c r="M473" s="8">
        <v>144.39519999999999</v>
      </c>
      <c r="N473" s="8">
        <v>12.621094174575948</v>
      </c>
      <c r="O473" s="8">
        <v>1.090167608665121E-2</v>
      </c>
      <c r="P473" s="8">
        <v>8.3577469966283971E-2</v>
      </c>
      <c r="Q473" s="8">
        <v>0.61719752885641443</v>
      </c>
      <c r="R473" s="3">
        <v>8.5460602836576315E-3</v>
      </c>
      <c r="S473" s="33">
        <v>2.3692393523361884E-2</v>
      </c>
      <c r="T473" s="5">
        <v>86.7</v>
      </c>
      <c r="U473" s="34">
        <v>3.9348241666666665E-2</v>
      </c>
      <c r="V473">
        <v>1.26705</v>
      </c>
    </row>
    <row r="474" spans="1:22" ht="16" x14ac:dyDescent="0.2">
      <c r="A474" s="2" t="s">
        <v>42</v>
      </c>
      <c r="B474" s="5">
        <v>2015</v>
      </c>
      <c r="C474" s="8">
        <v>16.8</v>
      </c>
      <c r="D474" s="4">
        <v>1.0358054232656655</v>
      </c>
      <c r="E474" s="6">
        <v>1.2185561627056707E-3</v>
      </c>
      <c r="F474" s="11">
        <v>1.0067999999999999</v>
      </c>
      <c r="G474" s="8">
        <v>1155220</v>
      </c>
      <c r="H474" s="7">
        <v>4.4161896523829025</v>
      </c>
      <c r="I474" s="4">
        <v>138938.46084186004</v>
      </c>
      <c r="J474" s="11">
        <v>1.7017</v>
      </c>
      <c r="K474" s="11">
        <v>44.040300000000002</v>
      </c>
      <c r="L474" s="7">
        <v>1</v>
      </c>
      <c r="M474" s="8">
        <v>95.728800000000007</v>
      </c>
      <c r="N474" s="8">
        <v>12.525775629098737</v>
      </c>
      <c r="O474" s="8">
        <v>1.1613528693169207E-2</v>
      </c>
      <c r="P474" s="8">
        <v>5.7749629234287586E-2</v>
      </c>
      <c r="Q474" s="8">
        <v>0.73723463003254375</v>
      </c>
      <c r="R474" s="3">
        <v>8.5539728727091272E-3</v>
      </c>
      <c r="S474" s="33">
        <v>-2.180320592340327E-2</v>
      </c>
      <c r="T474" s="5">
        <v>87.6</v>
      </c>
      <c r="U474" s="34">
        <v>0.11972595833333333</v>
      </c>
      <c r="V474">
        <v>1.374825</v>
      </c>
    </row>
    <row r="475" spans="1:22" ht="16" x14ac:dyDescent="0.2">
      <c r="A475" s="2" t="s">
        <v>42</v>
      </c>
      <c r="B475" s="5">
        <v>2016</v>
      </c>
      <c r="C475" s="8">
        <v>17.100000000000001</v>
      </c>
      <c r="D475" s="4">
        <v>1.160048700092652</v>
      </c>
      <c r="E475" s="6">
        <v>7.0465230209915347E-4</v>
      </c>
      <c r="F475" s="11">
        <v>1.0032000000000001</v>
      </c>
      <c r="G475" s="8">
        <v>1265914</v>
      </c>
      <c r="H475" s="7">
        <v>9.5820709475251462</v>
      </c>
      <c r="I475" s="4">
        <v>192363.10284519999</v>
      </c>
      <c r="J475" s="11">
        <v>1.7017</v>
      </c>
      <c r="K475" s="11">
        <v>46.587800000000001</v>
      </c>
      <c r="L475" s="7">
        <v>1</v>
      </c>
      <c r="M475" s="8">
        <v>77.410200000000003</v>
      </c>
      <c r="N475" s="8">
        <v>12.554274177092516</v>
      </c>
      <c r="O475" s="8">
        <v>1.508957532272719E-2</v>
      </c>
      <c r="P475" s="8">
        <v>3.945238399542364E-2</v>
      </c>
      <c r="Q475" s="8">
        <v>0.85496387749837666</v>
      </c>
      <c r="R475" s="3">
        <v>8.4192711648573559E-3</v>
      </c>
      <c r="S475" s="33">
        <v>3.5816495107943415E-2</v>
      </c>
      <c r="T475" s="5">
        <v>87.2</v>
      </c>
      <c r="U475" s="34">
        <v>0.17217984166666667</v>
      </c>
      <c r="V475">
        <v>1.3815463636363601</v>
      </c>
    </row>
    <row r="476" spans="1:22" ht="16" x14ac:dyDescent="0.2">
      <c r="A476" s="2" t="s">
        <v>42</v>
      </c>
      <c r="B476" s="5">
        <v>2017</v>
      </c>
      <c r="C476" s="8">
        <v>17.2</v>
      </c>
      <c r="D476" s="4">
        <v>1.6951088148980649</v>
      </c>
      <c r="E476" s="6">
        <v>-8.2018871616494782E-3</v>
      </c>
      <c r="F476" s="11">
        <v>1.0286</v>
      </c>
      <c r="G476" s="8">
        <v>1673976</v>
      </c>
      <c r="H476" s="7">
        <v>32.234575176512777</v>
      </c>
      <c r="I476" s="4">
        <v>255507.97929399999</v>
      </c>
      <c r="J476" s="11">
        <v>1.6726000000000001</v>
      </c>
      <c r="K476" s="11">
        <v>44.045099999999998</v>
      </c>
      <c r="L476" s="7">
        <v>1</v>
      </c>
      <c r="M476" s="8">
        <v>95.0381</v>
      </c>
      <c r="N476" s="8">
        <v>12.732841465914639</v>
      </c>
      <c r="O476" s="8">
        <v>1.3398390931626132E-2</v>
      </c>
      <c r="P476" s="8">
        <v>4.0848524687327019E-2</v>
      </c>
      <c r="Q476" s="8">
        <v>0.7844816360220408</v>
      </c>
      <c r="R476" s="3">
        <v>8.3669164072881393E-3</v>
      </c>
      <c r="S476" s="33">
        <v>7.5989427416575134E-2</v>
      </c>
      <c r="T476" s="5">
        <v>85</v>
      </c>
      <c r="U476" s="34">
        <v>6.2938825000000004E-2</v>
      </c>
      <c r="V476">
        <v>1.380925</v>
      </c>
    </row>
    <row r="477" spans="1:22" ht="16" x14ac:dyDescent="0.2">
      <c r="A477" s="2" t="s">
        <v>42</v>
      </c>
      <c r="B477" s="5">
        <v>2018</v>
      </c>
      <c r="C477" s="8">
        <v>16.399999999999999</v>
      </c>
      <c r="D477" s="4">
        <v>1.5509407189820239</v>
      </c>
      <c r="E477" s="6">
        <v>-1.9140261736613452E-3</v>
      </c>
      <c r="F477" s="11">
        <v>1.0124</v>
      </c>
      <c r="G477" s="8">
        <v>1908203</v>
      </c>
      <c r="H477" s="7">
        <v>13.99225556399853</v>
      </c>
      <c r="I477" s="4">
        <v>281589.17127583997</v>
      </c>
      <c r="J477" s="11">
        <v>1.7323999999999999</v>
      </c>
      <c r="K477" s="11">
        <v>44.296100000000003</v>
      </c>
      <c r="L477" s="7">
        <v>1</v>
      </c>
      <c r="M477" s="8">
        <v>87.225300000000004</v>
      </c>
      <c r="N477" s="8">
        <v>12.74555842787842</v>
      </c>
      <c r="O477" s="8">
        <v>9.7461344421810505E-3</v>
      </c>
      <c r="P477" s="8">
        <v>3.9020486655136993E-2</v>
      </c>
      <c r="Q477" s="8">
        <v>1.0122075202232235</v>
      </c>
      <c r="R477" s="3">
        <v>8.7235735667015226E-3</v>
      </c>
      <c r="S477" s="33">
        <v>9.7871719648500083E-2</v>
      </c>
      <c r="T477" s="5">
        <v>82.5</v>
      </c>
      <c r="U477" s="34">
        <v>3.5942166666666671E-2</v>
      </c>
      <c r="V477">
        <v>1.34884166666667</v>
      </c>
    </row>
    <row r="478" spans="1:22" ht="16" x14ac:dyDescent="0.2">
      <c r="A478" s="2" t="s">
        <v>42</v>
      </c>
      <c r="B478" s="5">
        <v>2019</v>
      </c>
      <c r="C478" s="8">
        <v>16.8</v>
      </c>
      <c r="D478" s="4">
        <v>0.54307151699170064</v>
      </c>
      <c r="E478" s="6">
        <v>3.3241829067936022E-3</v>
      </c>
      <c r="F478" s="11">
        <v>1.0024</v>
      </c>
      <c r="G478" s="8">
        <v>1765015</v>
      </c>
      <c r="H478" s="7">
        <v>-7.503813797588621</v>
      </c>
      <c r="I478" s="4">
        <v>285448.18193213997</v>
      </c>
      <c r="J478" s="11">
        <v>1.7975000000000001</v>
      </c>
      <c r="K478" s="11">
        <v>43.621400000000001</v>
      </c>
      <c r="L478" s="7">
        <v>1</v>
      </c>
      <c r="M478" s="8">
        <v>78.043099999999995</v>
      </c>
      <c r="N478" s="8">
        <v>12.80950821647879</v>
      </c>
      <c r="O478" s="8">
        <v>1.0304490036351924E-2</v>
      </c>
      <c r="P478" s="8">
        <v>4.9387723910434472E-2</v>
      </c>
      <c r="Q478" s="8">
        <v>1.1017661357600075</v>
      </c>
      <c r="R478" s="3">
        <v>8.7426957827579713E-3</v>
      </c>
      <c r="S478" s="33">
        <v>-8.5168228921264549E-5</v>
      </c>
      <c r="T478" s="5">
        <v>80.3</v>
      </c>
      <c r="U478" s="34">
        <v>1.4968416666666666E-2</v>
      </c>
      <c r="V478">
        <v>1.36415833333333</v>
      </c>
    </row>
    <row r="479" spans="1:22" ht="16" x14ac:dyDescent="0.2">
      <c r="A479" s="2" t="s">
        <v>42</v>
      </c>
      <c r="B479" s="5">
        <v>2020</v>
      </c>
      <c r="C479" s="8">
        <v>17.899999999999999</v>
      </c>
      <c r="D479" s="4">
        <v>0.35102333388224816</v>
      </c>
      <c r="E479" s="6">
        <v>1.4220102383154276E-2</v>
      </c>
      <c r="F479" s="11">
        <v>0.99119999999999997</v>
      </c>
      <c r="G479" s="8">
        <v>1782326</v>
      </c>
      <c r="H479" s="7">
        <v>0.98078486585099833</v>
      </c>
      <c r="I479" s="4">
        <v>296468.67740842002</v>
      </c>
      <c r="J479" s="11">
        <v>1.6357999999999999</v>
      </c>
      <c r="K479" s="11">
        <v>45.990699999999997</v>
      </c>
      <c r="L479" s="7">
        <v>1</v>
      </c>
      <c r="M479" s="8">
        <v>66.865300000000005</v>
      </c>
      <c r="N479" s="8">
        <v>12.885647090328209</v>
      </c>
      <c r="O479" s="8">
        <v>1.3852716559920436E-2</v>
      </c>
      <c r="P479" s="8">
        <v>5.5949254218007005E-2</v>
      </c>
      <c r="Q479" s="8">
        <v>0.89417392039500898</v>
      </c>
      <c r="R479" s="3">
        <v>8.4863166759808761E-3</v>
      </c>
      <c r="S479" s="33">
        <v>-7.5484298497911759E-2</v>
      </c>
      <c r="T479" s="5">
        <v>79.2</v>
      </c>
      <c r="U479" s="34">
        <v>0.14349582499999999</v>
      </c>
      <c r="V479">
        <v>1.37974166666667</v>
      </c>
    </row>
    <row r="480" spans="1:22" ht="16" x14ac:dyDescent="0.2">
      <c r="A480" s="2" t="s">
        <v>42</v>
      </c>
      <c r="B480" s="5">
        <v>2021</v>
      </c>
      <c r="C480" s="8">
        <v>17.600000000000001</v>
      </c>
      <c r="D480" s="4">
        <v>0.99896819268917181</v>
      </c>
      <c r="E480" s="6">
        <v>6.2571096671181219E-4</v>
      </c>
      <c r="F480" s="11">
        <v>0.99729999999999996</v>
      </c>
      <c r="G480" s="8">
        <v>1864340</v>
      </c>
      <c r="H480" s="7">
        <v>4.6015150988090845</v>
      </c>
      <c r="I480" s="4">
        <v>312775.43322298001</v>
      </c>
      <c r="J480" s="11">
        <v>1.5718000000000001</v>
      </c>
      <c r="K480" s="11">
        <v>47.093200000000003</v>
      </c>
      <c r="L480" s="7">
        <v>1</v>
      </c>
      <c r="M480" s="8">
        <v>52.6004</v>
      </c>
      <c r="N480" s="8">
        <v>12.905041006843309</v>
      </c>
      <c r="O480" s="8">
        <v>1.1856438919257155E-2</v>
      </c>
      <c r="P480" s="8">
        <v>5.6445462541854396E-2</v>
      </c>
      <c r="Q480" s="8">
        <v>0.32331135789878779</v>
      </c>
      <c r="R480" s="3">
        <v>8.4614581575816854E-3</v>
      </c>
      <c r="S480" s="33">
        <v>0.21643660779288709</v>
      </c>
      <c r="T480" s="5">
        <v>81</v>
      </c>
      <c r="U480" s="34">
        <v>0.15038996666666665</v>
      </c>
      <c r="V480">
        <v>1.34348333333333</v>
      </c>
    </row>
    <row r="481" spans="1:22" ht="16" x14ac:dyDescent="0.2">
      <c r="A481" s="2" t="s">
        <v>42</v>
      </c>
      <c r="B481" s="5">
        <v>2022</v>
      </c>
      <c r="C481" s="8">
        <v>17.7</v>
      </c>
      <c r="D481" s="4">
        <v>1.2152455238064934</v>
      </c>
      <c r="E481" s="6">
        <v>-1.1267281506556559E-3</v>
      </c>
      <c r="F481" s="11">
        <v>1.0029999999999999</v>
      </c>
      <c r="G481" s="8">
        <v>1986008</v>
      </c>
      <c r="H481" s="7">
        <v>6.5260628426145439</v>
      </c>
      <c r="I481" s="4">
        <v>252670.21299395998</v>
      </c>
      <c r="J481" s="11">
        <v>1.9454</v>
      </c>
      <c r="K481" s="11">
        <v>45.301900000000003</v>
      </c>
      <c r="L481" s="7">
        <v>1</v>
      </c>
      <c r="M481" s="8">
        <v>58.901000000000003</v>
      </c>
      <c r="N481" s="8">
        <v>12.943690421483614</v>
      </c>
      <c r="O481" s="8">
        <v>1.1909281979230146E-2</v>
      </c>
      <c r="P481" s="8">
        <v>7.1699519248171389E-2</v>
      </c>
      <c r="Q481" s="8">
        <v>0.65458814741187865</v>
      </c>
      <c r="R481" s="3">
        <v>8.4260468072922118E-3</v>
      </c>
      <c r="S481" s="33">
        <v>0.10144372128287374</v>
      </c>
      <c r="T481" s="5">
        <v>80.8</v>
      </c>
      <c r="U481" s="34">
        <v>0.24576475000000006</v>
      </c>
      <c r="V481">
        <v>1.37866666666667</v>
      </c>
    </row>
    <row r="482" spans="1:22" x14ac:dyDescent="0.2">
      <c r="U482" s="34"/>
    </row>
    <row r="483" spans="1:22" ht="16" x14ac:dyDescent="0.2">
      <c r="A483" s="2" t="s">
        <v>43</v>
      </c>
      <c r="B483" s="5">
        <v>2014</v>
      </c>
      <c r="C483" s="8">
        <v>9.2822017921406879</v>
      </c>
      <c r="D483" s="4">
        <v>1.4074326526756811</v>
      </c>
      <c r="E483" s="6">
        <v>-3.9410950362910443E-3</v>
      </c>
      <c r="F483" s="11">
        <v>1.0388999999999999</v>
      </c>
      <c r="G483" s="8">
        <v>520163</v>
      </c>
      <c r="H483" s="7">
        <v>38.695339163822524</v>
      </c>
      <c r="I483" s="4">
        <v>177993.56317862001</v>
      </c>
      <c r="J483" s="11">
        <v>1.7262999999999999</v>
      </c>
      <c r="K483" s="11">
        <v>43.039000000000001</v>
      </c>
      <c r="L483" s="7">
        <v>1</v>
      </c>
      <c r="M483" s="8">
        <v>111.2803</v>
      </c>
      <c r="N483" s="8">
        <v>12.35255716932955</v>
      </c>
      <c r="O483" s="8">
        <v>1.7257007047909455E-2</v>
      </c>
      <c r="P483" s="8">
        <v>0.12828253107718382</v>
      </c>
      <c r="Q483" s="8">
        <v>0.71594970806438241</v>
      </c>
      <c r="R483" s="3">
        <v>8.5280445918166879E-3</v>
      </c>
      <c r="S483" s="33">
        <v>2.3692393523361884E-2</v>
      </c>
      <c r="T483" s="5">
        <v>86.7</v>
      </c>
      <c r="U483" s="34">
        <v>3.9348241666666665E-2</v>
      </c>
      <c r="V483">
        <v>1.26705</v>
      </c>
    </row>
    <row r="484" spans="1:22" ht="16" x14ac:dyDescent="0.2">
      <c r="A484" s="2" t="s">
        <v>43</v>
      </c>
      <c r="B484" s="5">
        <v>2015</v>
      </c>
      <c r="C484" s="8">
        <v>8.7531596645356249</v>
      </c>
      <c r="D484" s="4">
        <v>1.6647763266228219</v>
      </c>
      <c r="E484" s="6">
        <v>-4.2492645902138283E-3</v>
      </c>
      <c r="F484" s="11">
        <v>1.0089999999999999</v>
      </c>
      <c r="G484" s="8">
        <v>587768</v>
      </c>
      <c r="H484" s="7">
        <v>12.996887514106156</v>
      </c>
      <c r="I484" s="4">
        <v>203374.65169920001</v>
      </c>
      <c r="J484" s="11">
        <v>1.7838000000000001</v>
      </c>
      <c r="K484" s="11">
        <v>45.742199999999997</v>
      </c>
      <c r="L484" s="7">
        <v>1</v>
      </c>
      <c r="M484" s="8">
        <v>105.7735</v>
      </c>
      <c r="N484" s="8">
        <v>12.314920420823867</v>
      </c>
      <c r="O484" s="8">
        <v>1.8131861988343174E-2</v>
      </c>
      <c r="P484" s="8">
        <v>0.12209946417868987</v>
      </c>
      <c r="Q484" s="8">
        <v>0.76732354990610752</v>
      </c>
      <c r="R484" s="3">
        <v>8.6216190946074699E-3</v>
      </c>
      <c r="S484" s="33">
        <v>-2.180320592340327E-2</v>
      </c>
      <c r="T484" s="5">
        <v>87.6</v>
      </c>
      <c r="U484" s="34">
        <v>0.11972595833333333</v>
      </c>
      <c r="V484">
        <v>1.374825</v>
      </c>
    </row>
    <row r="485" spans="1:22" ht="16" x14ac:dyDescent="0.2">
      <c r="A485" s="2" t="s">
        <v>43</v>
      </c>
      <c r="B485" s="5">
        <v>2016</v>
      </c>
      <c r="C485" s="8">
        <v>8.0753532801448742</v>
      </c>
      <c r="D485" s="4">
        <v>1.5228329626751445</v>
      </c>
      <c r="E485" s="6">
        <v>-3.0759082274479121E-3</v>
      </c>
      <c r="F485" s="11">
        <v>1.0076000000000001</v>
      </c>
      <c r="G485" s="8">
        <v>725617</v>
      </c>
      <c r="H485" s="7">
        <v>23.452961032244016</v>
      </c>
      <c r="I485" s="4">
        <v>230014.54553766001</v>
      </c>
      <c r="J485" s="11">
        <v>1.7208000000000001</v>
      </c>
      <c r="K485" s="11">
        <v>46.1312</v>
      </c>
      <c r="L485" s="7">
        <v>1</v>
      </c>
      <c r="M485" s="8">
        <v>116.5793</v>
      </c>
      <c r="N485" s="8">
        <v>12.367427945924126</v>
      </c>
      <c r="O485" s="8">
        <v>1.7406606671727623E-2</v>
      </c>
      <c r="P485" s="8">
        <v>7.8295303707440533E-2</v>
      </c>
      <c r="Q485" s="8">
        <v>0.87504794025253896</v>
      </c>
      <c r="R485" s="3">
        <v>8.8385997048849516E-3</v>
      </c>
      <c r="S485" s="33">
        <v>3.5816495107943415E-2</v>
      </c>
      <c r="T485" s="5">
        <v>87.2</v>
      </c>
      <c r="U485" s="34">
        <v>0.17217984166666667</v>
      </c>
      <c r="V485">
        <v>1.3815463636363601</v>
      </c>
    </row>
    <row r="486" spans="1:22" ht="16" x14ac:dyDescent="0.2">
      <c r="A486" s="2" t="s">
        <v>43</v>
      </c>
      <c r="B486" s="5">
        <v>2017</v>
      </c>
      <c r="C486" s="8">
        <v>8.3298480768356757</v>
      </c>
      <c r="D486" s="4">
        <v>1.2791127321121205</v>
      </c>
      <c r="E486" s="6">
        <v>-3.3650664099205397E-3</v>
      </c>
      <c r="F486" s="11">
        <v>1.0282</v>
      </c>
      <c r="G486" s="8">
        <v>788002</v>
      </c>
      <c r="H486" s="7">
        <v>8.5975108080433618</v>
      </c>
      <c r="I486" s="4">
        <v>315049.38793155999</v>
      </c>
      <c r="J486" s="11">
        <v>1.7781</v>
      </c>
      <c r="K486" s="11">
        <v>44.453800000000001</v>
      </c>
      <c r="L486" s="7">
        <v>1</v>
      </c>
      <c r="M486" s="8">
        <v>100.7685</v>
      </c>
      <c r="N486" s="8">
        <v>12.499812467213379</v>
      </c>
      <c r="O486" s="8">
        <v>1.6167836787991816E-2</v>
      </c>
      <c r="P486" s="8">
        <v>7.8181210449933397E-2</v>
      </c>
      <c r="Q486" s="8">
        <v>0.86620128526232409</v>
      </c>
      <c r="R486" s="3">
        <v>8.6531534842102017E-3</v>
      </c>
      <c r="S486" s="33">
        <v>7.5989427416575134E-2</v>
      </c>
      <c r="T486" s="5">
        <v>85</v>
      </c>
      <c r="U486" s="34">
        <v>6.2938825000000004E-2</v>
      </c>
      <c r="V486">
        <v>1.380925</v>
      </c>
    </row>
    <row r="487" spans="1:22" ht="16" x14ac:dyDescent="0.2">
      <c r="A487" s="2" t="s">
        <v>43</v>
      </c>
      <c r="B487" s="5">
        <v>2018</v>
      </c>
      <c r="C487" s="8">
        <v>9.0826346539554965</v>
      </c>
      <c r="D487" s="4">
        <v>1.2498589317264377</v>
      </c>
      <c r="E487" s="6">
        <v>7.8602621203519799E-4</v>
      </c>
      <c r="F487" s="11">
        <v>1.014</v>
      </c>
      <c r="G487" s="8">
        <v>754822</v>
      </c>
      <c r="H487" s="7">
        <v>-4.2106492115502245</v>
      </c>
      <c r="I487" s="4">
        <v>293019.69374341995</v>
      </c>
      <c r="J487" s="11">
        <v>1.8269</v>
      </c>
      <c r="K487" s="11">
        <v>43.884900000000002</v>
      </c>
      <c r="L487" s="7">
        <v>1</v>
      </c>
      <c r="M487" s="8">
        <v>119.12350000000001</v>
      </c>
      <c r="N487" s="8">
        <v>12.559310466021891</v>
      </c>
      <c r="O487" s="8">
        <v>1.1766046196110313E-2</v>
      </c>
      <c r="P487" s="8">
        <v>6.8895897207773713E-2</v>
      </c>
      <c r="Q487" s="8">
        <v>1.0425096680739148</v>
      </c>
      <c r="R487" s="3">
        <v>8.9262990589510979E-3</v>
      </c>
      <c r="S487" s="33">
        <v>9.7871719648500083E-2</v>
      </c>
      <c r="T487" s="5">
        <v>82.5</v>
      </c>
      <c r="U487" s="34">
        <v>3.5942166666666671E-2</v>
      </c>
      <c r="V487">
        <v>1.34884166666667</v>
      </c>
    </row>
    <row r="488" spans="1:22" ht="16" x14ac:dyDescent="0.2">
      <c r="A488" s="2" t="s">
        <v>43</v>
      </c>
      <c r="B488" s="5">
        <v>2019</v>
      </c>
      <c r="C488" s="8">
        <v>9.2667872234152231</v>
      </c>
      <c r="D488" s="4">
        <v>0.99130585617925748</v>
      </c>
      <c r="E488" s="6">
        <v>5.1516494697405604E-5</v>
      </c>
      <c r="F488" s="11">
        <v>1.0167999999999999</v>
      </c>
      <c r="G488" s="8">
        <v>803829</v>
      </c>
      <c r="H488" s="7">
        <v>6.4925240652763172</v>
      </c>
      <c r="I488" s="4">
        <v>307592.33584170003</v>
      </c>
      <c r="J488" s="11">
        <v>1.7948999999999999</v>
      </c>
      <c r="K488" s="11">
        <v>44.440600000000003</v>
      </c>
      <c r="L488" s="7">
        <v>1</v>
      </c>
      <c r="M488" s="8">
        <v>103.2418</v>
      </c>
      <c r="N488" s="8">
        <v>12.614084411484116</v>
      </c>
      <c r="O488" s="8">
        <v>1.1978891983947486E-2</v>
      </c>
      <c r="P488" s="8">
        <v>6.7122178267229132E-2</v>
      </c>
      <c r="Q488" s="8">
        <v>1.1701496193482697</v>
      </c>
      <c r="R488" s="3">
        <v>8.6467258282679604E-3</v>
      </c>
      <c r="S488" s="33">
        <v>-8.5168228921264549E-5</v>
      </c>
      <c r="T488" s="5">
        <v>80.3</v>
      </c>
      <c r="U488" s="34">
        <v>1.4968416666666666E-2</v>
      </c>
      <c r="V488">
        <v>1.36415833333333</v>
      </c>
    </row>
    <row r="489" spans="1:22" ht="16" x14ac:dyDescent="0.2">
      <c r="A489" s="2" t="s">
        <v>43</v>
      </c>
      <c r="B489" s="5">
        <v>2020</v>
      </c>
      <c r="C489" s="8">
        <v>6.1468523255389185</v>
      </c>
      <c r="D489" s="4">
        <v>1.3202234034806501</v>
      </c>
      <c r="E489" s="6">
        <v>4.8956571702499204E-3</v>
      </c>
      <c r="F489" s="11">
        <v>0.99829999999999997</v>
      </c>
      <c r="G489" s="8">
        <v>657223</v>
      </c>
      <c r="H489" s="7">
        <v>-18.238456189065086</v>
      </c>
      <c r="I489" s="4">
        <v>342071.98502733</v>
      </c>
      <c r="J489" s="11">
        <v>1.5840000000000001</v>
      </c>
      <c r="K489" s="11">
        <v>45.150399999999998</v>
      </c>
      <c r="L489" s="7">
        <v>1</v>
      </c>
      <c r="M489" s="8">
        <v>112.7544</v>
      </c>
      <c r="N489" s="8">
        <v>12.697134118553752</v>
      </c>
      <c r="O489" s="8">
        <v>1.4876308993944617E-2</v>
      </c>
      <c r="P489" s="8">
        <v>9.5970147328426014E-2</v>
      </c>
      <c r="Q489" s="8">
        <v>1.0436300108742025</v>
      </c>
      <c r="R489" s="3">
        <v>8.6687831356409006E-3</v>
      </c>
      <c r="S489" s="33">
        <v>-7.5484298497911759E-2</v>
      </c>
      <c r="T489" s="5">
        <v>79.2</v>
      </c>
      <c r="U489" s="34">
        <v>0.14349582499999999</v>
      </c>
      <c r="V489">
        <v>1.37974166666667</v>
      </c>
    </row>
    <row r="490" spans="1:22" ht="16" x14ac:dyDescent="0.2">
      <c r="A490" s="2" t="s">
        <v>43</v>
      </c>
      <c r="B490" s="5">
        <v>2021</v>
      </c>
      <c r="C490" s="8">
        <v>7.8181361329460684</v>
      </c>
      <c r="D490" s="4">
        <v>1.6529111639673251</v>
      </c>
      <c r="E490" s="6">
        <v>-6.7406690480628804E-3</v>
      </c>
      <c r="F490" s="11">
        <v>1.0103</v>
      </c>
      <c r="G490" s="8">
        <v>605590</v>
      </c>
      <c r="H490" s="7">
        <v>-7.8562375327704608</v>
      </c>
      <c r="I490" s="4">
        <v>373259.58541912999</v>
      </c>
      <c r="J490" s="11">
        <v>1.5681</v>
      </c>
      <c r="K490" s="11">
        <v>44.345700000000001</v>
      </c>
      <c r="L490" s="7">
        <v>1</v>
      </c>
      <c r="M490" s="8">
        <v>118.042</v>
      </c>
      <c r="N490" s="8">
        <v>12.739183712734281</v>
      </c>
      <c r="O490" s="8">
        <v>1.3149935865144813E-2</v>
      </c>
      <c r="P490" s="8">
        <v>9.0868228238303372E-2</v>
      </c>
      <c r="Q490" s="8">
        <v>0.37684167046732686</v>
      </c>
      <c r="R490" s="3">
        <v>8.8137000365638082E-3</v>
      </c>
      <c r="S490" s="33">
        <v>0.21643660779288709</v>
      </c>
      <c r="T490" s="5">
        <v>81</v>
      </c>
      <c r="U490" s="34">
        <v>0.15038996666666665</v>
      </c>
      <c r="V490">
        <v>1.34348333333333</v>
      </c>
    </row>
    <row r="491" spans="1:22" ht="16" x14ac:dyDescent="0.2">
      <c r="A491" s="2" t="s">
        <v>43</v>
      </c>
      <c r="B491" s="5">
        <v>2022</v>
      </c>
      <c r="C491" s="8">
        <v>8.033477662671606</v>
      </c>
      <c r="D491" s="4">
        <v>0.65020500474108966</v>
      </c>
      <c r="E491" s="6">
        <v>6.0945717817472564E-3</v>
      </c>
      <c r="F491" s="11">
        <v>1.0215000000000001</v>
      </c>
      <c r="G491" s="8">
        <v>832348</v>
      </c>
      <c r="H491" s="7">
        <v>37.444145378886709</v>
      </c>
      <c r="I491" s="4">
        <v>377912.55415725004</v>
      </c>
      <c r="J491" s="11">
        <v>1.8694</v>
      </c>
      <c r="K491" s="11">
        <v>46.194400000000002</v>
      </c>
      <c r="L491" s="7">
        <v>1</v>
      </c>
      <c r="M491" s="8">
        <v>151.16730000000001</v>
      </c>
      <c r="N491" s="8">
        <v>12.838924220376326</v>
      </c>
      <c r="O491" s="8">
        <v>1.3476692796861641E-2</v>
      </c>
      <c r="P491" s="8">
        <v>0.11488485106513385</v>
      </c>
      <c r="Q491" s="8">
        <v>0.79447958601911561</v>
      </c>
      <c r="R491" s="3">
        <v>8.6734597564977201E-3</v>
      </c>
      <c r="S491" s="33">
        <v>0.10144372128287374</v>
      </c>
      <c r="T491" s="5">
        <v>80.8</v>
      </c>
      <c r="U491" s="34">
        <v>0.24576475000000006</v>
      </c>
      <c r="V491">
        <v>1.37866666666667</v>
      </c>
    </row>
    <row r="492" spans="1:22" x14ac:dyDescent="0.2">
      <c r="A492" s="5" t="s">
        <v>88</v>
      </c>
      <c r="U492" s="34"/>
    </row>
    <row r="493" spans="1:22" ht="16" x14ac:dyDescent="0.2">
      <c r="A493" s="2" t="s">
        <v>44</v>
      </c>
      <c r="B493" s="5">
        <v>2014</v>
      </c>
      <c r="C493" s="8">
        <v>11.45</v>
      </c>
      <c r="D493" s="4">
        <v>3.4639206674729808</v>
      </c>
      <c r="E493" s="6">
        <v>-2.4717963435979054E-2</v>
      </c>
      <c r="F493" s="11">
        <v>1.0133000000000001</v>
      </c>
      <c r="G493" s="8">
        <v>0.87408600000000003</v>
      </c>
      <c r="H493" s="7">
        <v>-58.263632339733071</v>
      </c>
      <c r="I493" s="4">
        <v>8964.7923731800001</v>
      </c>
      <c r="J493" s="11">
        <v>1.2091000000000001</v>
      </c>
      <c r="K493" s="11">
        <v>56.898600000000002</v>
      </c>
      <c r="L493" s="7">
        <v>1</v>
      </c>
      <c r="M493" s="8">
        <v>162.20089999999999</v>
      </c>
      <c r="N493" s="8">
        <v>10.95831867751958</v>
      </c>
      <c r="O493" s="8">
        <v>1.1459537174885633E-2</v>
      </c>
      <c r="P493" s="8">
        <v>8.2005178293853051E-2</v>
      </c>
      <c r="Q493" s="8">
        <v>1.0080835716343806</v>
      </c>
      <c r="R493" s="3">
        <v>8.8176478897109556E-3</v>
      </c>
      <c r="S493" s="33">
        <v>9.5263087248195086E-2</v>
      </c>
      <c r="T493" s="5">
        <v>86.7</v>
      </c>
      <c r="U493" s="34">
        <v>0.30936659166666663</v>
      </c>
      <c r="V493">
        <v>29.85</v>
      </c>
    </row>
    <row r="494" spans="1:22" ht="16" x14ac:dyDescent="0.2">
      <c r="A494" s="2" t="s">
        <v>44</v>
      </c>
      <c r="B494" s="5">
        <v>2015</v>
      </c>
      <c r="C494" s="8">
        <v>11.78</v>
      </c>
      <c r="D494" s="4">
        <v>0.40153816777985535</v>
      </c>
      <c r="E494" s="6">
        <v>8.7818177495177317E-3</v>
      </c>
      <c r="F494" s="11">
        <v>1.0017</v>
      </c>
      <c r="G494" s="8">
        <v>5.8222120000000004</v>
      </c>
      <c r="H494" s="7">
        <v>566.0914372270006</v>
      </c>
      <c r="I494" s="4">
        <v>8634.7961838600004</v>
      </c>
      <c r="J494" s="11">
        <v>1.2257</v>
      </c>
      <c r="K494" s="11">
        <v>52.116199999999999</v>
      </c>
      <c r="L494" s="7">
        <v>1</v>
      </c>
      <c r="M494" s="8">
        <v>137.55719999999999</v>
      </c>
      <c r="N494" s="8">
        <v>10.96669344402321</v>
      </c>
      <c r="O494" s="8">
        <v>1.2001820321178084E-2</v>
      </c>
      <c r="P494" s="8">
        <v>1.6305995757627582E-2</v>
      </c>
      <c r="Q494" s="8">
        <v>0.87846631227376037</v>
      </c>
      <c r="R494" s="3">
        <v>8.6929833192703754E-3</v>
      </c>
      <c r="S494" s="33">
        <v>4.523091029135138E-2</v>
      </c>
      <c r="T494" s="5">
        <v>87.6</v>
      </c>
      <c r="U494" s="34">
        <v>0.23487085833333335</v>
      </c>
      <c r="V494">
        <v>30.48</v>
      </c>
    </row>
    <row r="495" spans="1:22" ht="16" x14ac:dyDescent="0.2">
      <c r="A495" s="2" t="s">
        <v>44</v>
      </c>
      <c r="B495" s="5">
        <v>2016</v>
      </c>
      <c r="C495" s="8">
        <v>12.01</v>
      </c>
      <c r="D495" s="4">
        <v>1.0766144435328846</v>
      </c>
      <c r="E495" s="6">
        <v>4.4896093479277475E-4</v>
      </c>
      <c r="F495" s="11">
        <v>1.0081</v>
      </c>
      <c r="G495" s="8">
        <v>2.608822</v>
      </c>
      <c r="H495" s="7">
        <v>-55.191909878925749</v>
      </c>
      <c r="I495" s="4">
        <v>10851.204227210001</v>
      </c>
      <c r="J495" s="11">
        <v>1.212</v>
      </c>
      <c r="K495" s="11">
        <v>49.637799999999999</v>
      </c>
      <c r="L495" s="7">
        <v>1</v>
      </c>
      <c r="M495" s="8">
        <v>141.39259999999999</v>
      </c>
      <c r="N495" s="8">
        <v>11.033287828547715</v>
      </c>
      <c r="O495" s="8">
        <v>1.1593097078720058E-2</v>
      </c>
      <c r="P495" s="8">
        <v>2.2082378909894486E-2</v>
      </c>
      <c r="Q495" s="8">
        <v>0.77133595487597084</v>
      </c>
      <c r="R495" s="3">
        <v>8.5685300718502354E-3</v>
      </c>
      <c r="S495" s="33">
        <v>0.11310164338924761</v>
      </c>
      <c r="T495" s="5">
        <v>87.2</v>
      </c>
      <c r="U495" s="34">
        <v>0.41611095833333328</v>
      </c>
      <c r="V495">
        <v>33.01</v>
      </c>
    </row>
    <row r="496" spans="1:22" ht="16" x14ac:dyDescent="0.2">
      <c r="A496" s="2" t="s">
        <v>44</v>
      </c>
      <c r="B496" s="5">
        <v>2017</v>
      </c>
      <c r="C496" s="8">
        <v>13.56</v>
      </c>
      <c r="D496" s="4">
        <v>-0.53629415580811679</v>
      </c>
      <c r="E496" s="6">
        <v>1.2777750525808332E-2</v>
      </c>
      <c r="F496" s="11">
        <v>1.0053000000000001</v>
      </c>
      <c r="G496" s="8">
        <v>8.2040670000000002</v>
      </c>
      <c r="H496" s="7">
        <v>214.47400397574077</v>
      </c>
      <c r="I496" s="4">
        <v>14131.437000450002</v>
      </c>
      <c r="J496" s="11">
        <v>1.2369000000000001</v>
      </c>
      <c r="K496" s="11">
        <v>52.902200000000001</v>
      </c>
      <c r="L496" s="7">
        <v>1</v>
      </c>
      <c r="M496" s="8">
        <v>120.79179999999999</v>
      </c>
      <c r="N496" s="8">
        <v>11.136521834001668</v>
      </c>
      <c r="O496" s="8">
        <v>1.169526324184058E-2</v>
      </c>
      <c r="P496" s="8">
        <v>3.6756500225246701E-2</v>
      </c>
      <c r="Q496" s="8">
        <v>0.84220672244470629</v>
      </c>
      <c r="R496" s="3">
        <v>8.381317373064778E-3</v>
      </c>
      <c r="S496" s="33">
        <v>0.14053805237899461</v>
      </c>
      <c r="T496" s="5">
        <v>85</v>
      </c>
      <c r="U496" s="34">
        <v>0.15523289166666668</v>
      </c>
      <c r="V496">
        <v>30.39</v>
      </c>
    </row>
    <row r="497" spans="1:22" ht="16" x14ac:dyDescent="0.2">
      <c r="A497" s="2" t="s">
        <v>44</v>
      </c>
      <c r="B497" s="5">
        <v>2018</v>
      </c>
      <c r="C497" s="8">
        <v>14.84</v>
      </c>
      <c r="D497" s="4">
        <v>0.16036810694664499</v>
      </c>
      <c r="E497" s="6">
        <v>7.2539720226045693E-3</v>
      </c>
      <c r="F497" s="11">
        <v>1.0057</v>
      </c>
      <c r="G497" s="8">
        <v>8.0040080000000007</v>
      </c>
      <c r="H497" s="7">
        <v>-2.4385344488288494</v>
      </c>
      <c r="I497" s="4">
        <v>14099.56739889</v>
      </c>
      <c r="J497" s="11">
        <v>1.2592000000000001</v>
      </c>
      <c r="K497" s="11">
        <v>53.905900000000003</v>
      </c>
      <c r="L497" s="7">
        <v>1</v>
      </c>
      <c r="M497" s="8">
        <v>121.7817</v>
      </c>
      <c r="N497" s="8">
        <v>11.127487654506206</v>
      </c>
      <c r="O497" s="8">
        <v>1.2181190602168655E-2</v>
      </c>
      <c r="P497" s="8">
        <v>2.4555463113418403E-2</v>
      </c>
      <c r="Q497" s="8">
        <v>1.0355180416789647</v>
      </c>
      <c r="R497" s="3">
        <v>8.0616667018056521E-3</v>
      </c>
      <c r="S497" s="33">
        <v>2.9216410393568825E-2</v>
      </c>
      <c r="T497" s="5">
        <v>82.5</v>
      </c>
      <c r="U497" s="34">
        <v>2.8814983333333336E-2</v>
      </c>
      <c r="V497">
        <v>30.12</v>
      </c>
    </row>
    <row r="498" spans="1:22" ht="16" x14ac:dyDescent="0.2">
      <c r="A498" s="2" t="s">
        <v>44</v>
      </c>
      <c r="B498" s="5">
        <v>2019</v>
      </c>
      <c r="C498" s="8">
        <v>14.71</v>
      </c>
      <c r="D498" s="4">
        <v>0.87411559031539987</v>
      </c>
      <c r="E498" s="6">
        <v>3.1295223494471225E-4</v>
      </c>
      <c r="F498" s="11">
        <v>1.0302</v>
      </c>
      <c r="G498" s="8">
        <v>8.2698160000000005</v>
      </c>
      <c r="H498" s="7">
        <v>3.3209362109583069</v>
      </c>
      <c r="I498" s="4">
        <v>16429.123087650001</v>
      </c>
      <c r="J498" s="11">
        <v>1.1958</v>
      </c>
      <c r="K498" s="11">
        <v>54.519500000000001</v>
      </c>
      <c r="L498" s="7">
        <v>1</v>
      </c>
      <c r="M498" s="8">
        <v>105.87909999999999</v>
      </c>
      <c r="N498" s="8">
        <v>11.176052118915381</v>
      </c>
      <c r="O498" s="8">
        <v>1.2079090149989027E-2</v>
      </c>
      <c r="P498" s="8">
        <v>1.5178804868937785E-2</v>
      </c>
      <c r="Q498" s="8">
        <v>1.208592904565529</v>
      </c>
      <c r="R498" s="3">
        <v>8.2282593317890389E-3</v>
      </c>
      <c r="S498" s="33">
        <v>3.5027857139206212E-2</v>
      </c>
      <c r="T498" s="5">
        <v>80.3</v>
      </c>
      <c r="U498" s="34">
        <v>2.3433308333333333E-2</v>
      </c>
      <c r="V498">
        <v>30.86</v>
      </c>
    </row>
    <row r="499" spans="1:22" ht="16" x14ac:dyDescent="0.2">
      <c r="A499" s="2" t="s">
        <v>44</v>
      </c>
      <c r="B499" s="5">
        <v>2020</v>
      </c>
      <c r="C499" s="8">
        <v>15.1</v>
      </c>
      <c r="D499" s="4">
        <v>-10.251363072103359</v>
      </c>
      <c r="E499" s="6">
        <v>0.11848529341336508</v>
      </c>
      <c r="F499" s="11">
        <v>1.0092000000000001</v>
      </c>
      <c r="G499" s="8">
        <v>8.3592080000000006</v>
      </c>
      <c r="H499" s="7">
        <v>1.0809430342827475</v>
      </c>
      <c r="I499" s="4">
        <v>19894.894178080001</v>
      </c>
      <c r="J499" s="11">
        <v>0.9526</v>
      </c>
      <c r="K499" s="11">
        <v>66.985100000000003</v>
      </c>
      <c r="L499" s="7">
        <v>1</v>
      </c>
      <c r="M499" s="8">
        <v>116.0514</v>
      </c>
      <c r="N499" s="8">
        <v>11.3186902167475</v>
      </c>
      <c r="O499" s="8">
        <v>1.2601432231688208E-2</v>
      </c>
      <c r="P499" s="8">
        <v>1.1432978498664792E-2</v>
      </c>
      <c r="Q499" s="8">
        <v>1.2846188592614374</v>
      </c>
      <c r="R499" s="3">
        <v>7.8447390540070609E-3</v>
      </c>
      <c r="S499" s="33">
        <v>-4.5924613649292165E-2</v>
      </c>
      <c r="T499" s="5">
        <v>79.2</v>
      </c>
      <c r="U499" s="34">
        <v>0.11969824166666666</v>
      </c>
      <c r="V499">
        <v>29.41</v>
      </c>
    </row>
    <row r="500" spans="1:22" ht="16" x14ac:dyDescent="0.2">
      <c r="A500" s="2" t="s">
        <v>44</v>
      </c>
      <c r="B500" s="5">
        <v>2021</v>
      </c>
      <c r="C500" s="8">
        <v>15.69</v>
      </c>
      <c r="D500" s="4">
        <v>-1.8079634368200523</v>
      </c>
      <c r="E500" s="6">
        <v>2.7918242812982195E-2</v>
      </c>
      <c r="F500" s="11">
        <v>1.0026999999999999</v>
      </c>
      <c r="G500" s="8">
        <v>5.3151659999999996</v>
      </c>
      <c r="H500" s="7">
        <v>-36.415435529298954</v>
      </c>
      <c r="I500" s="4">
        <v>18713.399542600004</v>
      </c>
      <c r="J500" s="11">
        <v>0.95079999999999998</v>
      </c>
      <c r="K500" s="11">
        <v>60.294199999999996</v>
      </c>
      <c r="L500" s="7">
        <v>1</v>
      </c>
      <c r="M500" s="8">
        <v>99.477099999999993</v>
      </c>
      <c r="N500" s="8">
        <v>11.431544399261655</v>
      </c>
      <c r="O500" s="8">
        <v>1.2815822842012868E-2</v>
      </c>
      <c r="P500" s="8">
        <v>1.6245120285438137E-2</v>
      </c>
      <c r="Q500" s="8">
        <v>0.6942693968027227</v>
      </c>
      <c r="R500" s="3">
        <v>7.3121917891582899E-3</v>
      </c>
      <c r="S500" s="33">
        <v>0.16411731154872483</v>
      </c>
      <c r="T500" s="5">
        <v>81</v>
      </c>
      <c r="U500" s="34">
        <v>0.12740310000000002</v>
      </c>
      <c r="V500">
        <v>28.57</v>
      </c>
    </row>
    <row r="501" spans="1:22" ht="16" x14ac:dyDescent="0.2">
      <c r="A501" s="2" t="s">
        <v>44</v>
      </c>
      <c r="B501" s="5">
        <v>2022</v>
      </c>
      <c r="C501" s="8">
        <v>14.37</v>
      </c>
      <c r="D501" s="4">
        <v>0.10656730820999023</v>
      </c>
      <c r="E501" s="6">
        <v>1.0527271290760634E-2</v>
      </c>
      <c r="F501" s="11">
        <v>1.0046999999999999</v>
      </c>
      <c r="G501" s="8">
        <v>0</v>
      </c>
      <c r="H501" s="7">
        <v>-100</v>
      </c>
      <c r="I501" s="4">
        <v>11087.138282400001</v>
      </c>
      <c r="J501" s="11">
        <v>1.0691999999999999</v>
      </c>
      <c r="K501" s="11">
        <v>57.130299999999998</v>
      </c>
      <c r="L501" s="7">
        <v>1</v>
      </c>
      <c r="M501" s="8">
        <v>72.409199999999998</v>
      </c>
      <c r="N501" s="8">
        <v>11.37789690643765</v>
      </c>
      <c r="O501" s="8">
        <v>1.2850282529756908E-2</v>
      </c>
      <c r="P501" s="8">
        <v>2.1373553424428243E-2</v>
      </c>
      <c r="Q501" s="8">
        <v>1.3000540134800844</v>
      </c>
      <c r="R501" s="3">
        <v>7.303412941941566E-3</v>
      </c>
      <c r="S501" s="33">
        <v>7.355736131395868E-2</v>
      </c>
      <c r="T501" s="5">
        <v>80.8</v>
      </c>
      <c r="U501" s="34">
        <v>0.28625994999999999</v>
      </c>
      <c r="V501">
        <v>30.74</v>
      </c>
    </row>
    <row r="502" spans="1:22" x14ac:dyDescent="0.2">
      <c r="U502" s="34"/>
    </row>
    <row r="503" spans="1:22" ht="16" x14ac:dyDescent="0.2">
      <c r="A503" s="2" t="s">
        <v>45</v>
      </c>
      <c r="B503" s="5">
        <v>2014</v>
      </c>
      <c r="C503" s="8">
        <v>15.149880069065187</v>
      </c>
      <c r="D503" s="4">
        <v>2.8497108543346235</v>
      </c>
      <c r="E503" s="6">
        <v>-2.24164647077192E-2</v>
      </c>
      <c r="F503" s="11">
        <v>0.98770000000000002</v>
      </c>
      <c r="G503" s="8">
        <v>14.012370000000001</v>
      </c>
      <c r="H503" s="7">
        <v>1012.2526331163446</v>
      </c>
      <c r="I503" s="4">
        <v>8121.996855299999</v>
      </c>
      <c r="J503" s="11">
        <v>1.7015</v>
      </c>
      <c r="K503" s="11">
        <v>37.5321</v>
      </c>
      <c r="L503" s="7">
        <v>1</v>
      </c>
      <c r="M503" s="8">
        <v>90.609700000000004</v>
      </c>
      <c r="N503" s="8">
        <v>9.7269691687145237</v>
      </c>
      <c r="O503" s="8">
        <v>1.41734564039639E-2</v>
      </c>
      <c r="P503" s="8">
        <v>0.1733724295317384</v>
      </c>
      <c r="Q503" s="8">
        <v>0.93641817657167226</v>
      </c>
      <c r="R503" s="3">
        <v>8.5512695375381375E-3</v>
      </c>
      <c r="S503" s="33">
        <v>9.5263087248195086E-2</v>
      </c>
      <c r="T503" s="5">
        <v>86.7</v>
      </c>
      <c r="U503" s="34">
        <v>0.30936659166666663</v>
      </c>
      <c r="V503">
        <v>29.85</v>
      </c>
    </row>
    <row r="504" spans="1:22" ht="16" x14ac:dyDescent="0.2">
      <c r="A504" s="2" t="s">
        <v>45</v>
      </c>
      <c r="B504" s="5">
        <v>2015</v>
      </c>
      <c r="C504" s="8">
        <v>13.291002864194029</v>
      </c>
      <c r="D504" s="4">
        <v>1.5646673818619096E-2</v>
      </c>
      <c r="E504" s="6">
        <v>8.4668404092734968E-3</v>
      </c>
      <c r="F504" s="11">
        <v>0.98240000000000005</v>
      </c>
      <c r="G504" s="8">
        <v>14.092328</v>
      </c>
      <c r="H504" s="7">
        <v>0.57062438402639615</v>
      </c>
      <c r="I504" s="4">
        <v>7164.7801751200013</v>
      </c>
      <c r="J504" s="11">
        <v>1.6600999999999999</v>
      </c>
      <c r="K504" s="11">
        <v>52.167700000000004</v>
      </c>
      <c r="L504" s="7">
        <v>1</v>
      </c>
      <c r="M504" s="8">
        <v>62.770400000000002</v>
      </c>
      <c r="N504" s="8">
        <v>9.7692627538468919</v>
      </c>
      <c r="O504" s="8">
        <v>1.5767797673008375E-2</v>
      </c>
      <c r="P504" s="8">
        <v>0.16657656762262224</v>
      </c>
      <c r="Q504" s="8">
        <v>0.99425149865891316</v>
      </c>
      <c r="R504" s="3">
        <v>7.8709916105135173E-3</v>
      </c>
      <c r="S504" s="33">
        <v>4.523091029135138E-2</v>
      </c>
      <c r="T504" s="5">
        <v>87.6</v>
      </c>
      <c r="U504" s="34">
        <v>0.23487085833333335</v>
      </c>
      <c r="V504">
        <v>30.48</v>
      </c>
    </row>
    <row r="505" spans="1:22" ht="16" x14ac:dyDescent="0.2">
      <c r="A505" s="2" t="s">
        <v>45</v>
      </c>
      <c r="B505" s="5">
        <v>2016</v>
      </c>
      <c r="C505" s="8">
        <v>12.381088786685446</v>
      </c>
      <c r="D505" s="4">
        <v>0.30519466143563739</v>
      </c>
      <c r="E505" s="6">
        <v>4.9385278532262412E-3</v>
      </c>
      <c r="F505" s="11">
        <v>0.98140000000000005</v>
      </c>
      <c r="G505" s="8">
        <v>30.533912000000001</v>
      </c>
      <c r="H505" s="7">
        <v>116.67046069322258</v>
      </c>
      <c r="I505" s="4">
        <v>7722.3865553799997</v>
      </c>
      <c r="J505" s="11">
        <v>1.5903</v>
      </c>
      <c r="K505" s="11">
        <v>54.900599999999997</v>
      </c>
      <c r="L505" s="7">
        <v>1</v>
      </c>
      <c r="M505" s="8">
        <v>94.206400000000002</v>
      </c>
      <c r="N505" s="8">
        <v>9.8709232546138175</v>
      </c>
      <c r="O505" s="8">
        <v>1.4391684580853693E-2</v>
      </c>
      <c r="P505" s="8">
        <v>0.15671879430870408</v>
      </c>
      <c r="Q505" s="8">
        <v>0.88828270592620207</v>
      </c>
      <c r="R505" s="3">
        <v>8.0155657253937786E-3</v>
      </c>
      <c r="S505" s="33">
        <v>0.11310164338924761</v>
      </c>
      <c r="T505" s="5">
        <v>87.2</v>
      </c>
      <c r="U505" s="34">
        <v>0.41611095833333328</v>
      </c>
      <c r="V505">
        <v>33.01</v>
      </c>
    </row>
    <row r="506" spans="1:22" ht="16" x14ac:dyDescent="0.2">
      <c r="A506" s="2" t="s">
        <v>45</v>
      </c>
      <c r="B506" s="5">
        <v>2017</v>
      </c>
      <c r="C506" s="8">
        <v>11.96370943907613</v>
      </c>
      <c r="D506" s="4">
        <v>1.4380064385005225</v>
      </c>
      <c r="E506" s="6">
        <v>-7.8399170829455255E-3</v>
      </c>
      <c r="F506" s="11">
        <v>0.98380000000000001</v>
      </c>
      <c r="G506" s="8">
        <v>55.928646000000001</v>
      </c>
      <c r="H506" s="7">
        <v>83.168949985838694</v>
      </c>
      <c r="I506" s="4">
        <v>6219.2727092099994</v>
      </c>
      <c r="J506" s="11">
        <v>1.51</v>
      </c>
      <c r="K506" s="11">
        <v>55.000900000000001</v>
      </c>
      <c r="L506" s="7">
        <v>1</v>
      </c>
      <c r="M506" s="8">
        <v>100.28700000000001</v>
      </c>
      <c r="N506" s="8">
        <v>10.014463861567188</v>
      </c>
      <c r="O506" s="8">
        <v>1.4457320239467508E-2</v>
      </c>
      <c r="P506" s="8">
        <v>6.8065531580905989E-2</v>
      </c>
      <c r="Q506" s="8">
        <v>0.89305257750379696</v>
      </c>
      <c r="R506" s="3">
        <v>7.7527192075844114E-3</v>
      </c>
      <c r="S506" s="33">
        <v>0.14053805237899461</v>
      </c>
      <c r="T506" s="5">
        <v>85</v>
      </c>
      <c r="U506" s="34">
        <v>0.15523289166666668</v>
      </c>
      <c r="V506">
        <v>30.39</v>
      </c>
    </row>
    <row r="507" spans="1:22" ht="16" x14ac:dyDescent="0.2">
      <c r="A507" s="2" t="s">
        <v>45</v>
      </c>
      <c r="B507" s="5">
        <v>2018</v>
      </c>
      <c r="C507" s="8">
        <v>12.587353192908786</v>
      </c>
      <c r="D507" s="4">
        <v>0.47320521008979516</v>
      </c>
      <c r="E507" s="6">
        <v>2.3928824298581493E-3</v>
      </c>
      <c r="F507" s="11">
        <v>0.98280000000000001</v>
      </c>
      <c r="G507" s="8">
        <v>62.894947000000002</v>
      </c>
      <c r="H507" s="7">
        <v>12.45569399266344</v>
      </c>
      <c r="I507" s="4">
        <v>6712.4107293199995</v>
      </c>
      <c r="J507" s="11">
        <v>1.4218</v>
      </c>
      <c r="K507" s="11">
        <v>55.089100000000002</v>
      </c>
      <c r="L507" s="7">
        <v>1</v>
      </c>
      <c r="M507" s="8">
        <v>95.131699999999995</v>
      </c>
      <c r="N507" s="8">
        <v>10.024390684514563</v>
      </c>
      <c r="O507" s="8">
        <v>1.4178300373953939E-2</v>
      </c>
      <c r="P507" s="8">
        <v>6.9028443240203713E-2</v>
      </c>
      <c r="Q507" s="8">
        <v>0.97061283159409806</v>
      </c>
      <c r="R507" s="3">
        <v>7.8360303822838859E-3</v>
      </c>
      <c r="S507" s="33">
        <v>2.9216410393568825E-2</v>
      </c>
      <c r="T507" s="5">
        <v>82.5</v>
      </c>
      <c r="U507" s="34">
        <v>2.8814983333333336E-2</v>
      </c>
      <c r="V507">
        <v>30.12</v>
      </c>
    </row>
    <row r="508" spans="1:22" ht="16" x14ac:dyDescent="0.2">
      <c r="A508" s="2" t="s">
        <v>45</v>
      </c>
      <c r="B508" s="5">
        <v>2019</v>
      </c>
      <c r="C508" s="8">
        <v>13.402584023896635</v>
      </c>
      <c r="D508" s="4">
        <v>0.64157861044140163</v>
      </c>
      <c r="E508" s="6">
        <v>2.4552730174080882E-4</v>
      </c>
      <c r="F508" s="11">
        <v>0.99</v>
      </c>
      <c r="G508" s="8">
        <v>62.289873999999998</v>
      </c>
      <c r="H508" s="7">
        <v>-0.96203753856411445</v>
      </c>
      <c r="I508" s="4">
        <v>4621.8617415000008</v>
      </c>
      <c r="J508" s="11">
        <v>1.3845000000000001</v>
      </c>
      <c r="K508" s="11">
        <v>52.729199999999999</v>
      </c>
      <c r="L508" s="7">
        <v>1</v>
      </c>
      <c r="M508" s="8">
        <v>78.085700000000003</v>
      </c>
      <c r="N508" s="8">
        <v>10.03556826968962</v>
      </c>
      <c r="O508" s="8">
        <v>1.4830274470868232E-2</v>
      </c>
      <c r="P508" s="8">
        <v>6.6257845959626915E-2</v>
      </c>
      <c r="Q508" s="8">
        <v>0.97567310189593981</v>
      </c>
      <c r="R508" s="3">
        <v>7.6010625224360324E-3</v>
      </c>
      <c r="S508" s="33">
        <v>3.5027857139206212E-2</v>
      </c>
      <c r="T508" s="5">
        <v>80.3</v>
      </c>
      <c r="U508" s="34">
        <v>2.3433308333333333E-2</v>
      </c>
      <c r="V508">
        <v>30.86</v>
      </c>
    </row>
    <row r="509" spans="1:22" ht="16" x14ac:dyDescent="0.2">
      <c r="A509" s="2" t="s">
        <v>45</v>
      </c>
      <c r="B509" s="5">
        <v>2020</v>
      </c>
      <c r="C509" s="8">
        <v>12.276636202623974</v>
      </c>
      <c r="D509" s="4">
        <v>-5.0892623990304875</v>
      </c>
      <c r="E509" s="6">
        <v>6.5532160716124097E-2</v>
      </c>
      <c r="F509" s="11">
        <v>0.98329999999999995</v>
      </c>
      <c r="G509" s="8">
        <v>102.659019</v>
      </c>
      <c r="H509" s="7">
        <v>64.808519278751476</v>
      </c>
      <c r="I509" s="4">
        <v>3498.4381315599999</v>
      </c>
      <c r="J509" s="11">
        <v>1.3354999999999999</v>
      </c>
      <c r="K509" s="11">
        <v>56.551499999999997</v>
      </c>
      <c r="L509" s="7">
        <v>1</v>
      </c>
      <c r="M509" s="8">
        <v>58.094000000000001</v>
      </c>
      <c r="N509" s="8">
        <v>10.174475045254079</v>
      </c>
      <c r="O509" s="8">
        <v>1.3652023274492149E-2</v>
      </c>
      <c r="P509" s="8">
        <v>7.0680000460931175E-2</v>
      </c>
      <c r="Q509" s="8">
        <v>0.80860113596875771</v>
      </c>
      <c r="R509" s="3">
        <v>7.2908380834031733E-3</v>
      </c>
      <c r="S509" s="33">
        <v>-4.5924613649292165E-2</v>
      </c>
      <c r="T509" s="5">
        <v>79.2</v>
      </c>
      <c r="U509" s="34">
        <v>0.11969824166666666</v>
      </c>
      <c r="V509">
        <v>29.41</v>
      </c>
    </row>
    <row r="510" spans="1:22" ht="16" x14ac:dyDescent="0.2">
      <c r="A510" s="2" t="s">
        <v>45</v>
      </c>
      <c r="B510" s="5">
        <v>2021</v>
      </c>
      <c r="C510" s="8">
        <v>13.659010254808438</v>
      </c>
      <c r="D510" s="4">
        <v>-3.3246206281365511</v>
      </c>
      <c r="E510" s="6">
        <v>4.1461132787064245E-2</v>
      </c>
      <c r="F510" s="11">
        <v>0.98919999999999997</v>
      </c>
      <c r="G510" s="8">
        <v>126.080434</v>
      </c>
      <c r="H510" s="7">
        <v>22.814766036289509</v>
      </c>
      <c r="I510" s="4">
        <v>2688.7666841999999</v>
      </c>
      <c r="J510" s="11">
        <v>1.4240999999999999</v>
      </c>
      <c r="K510" s="11">
        <v>51.831299999999999</v>
      </c>
      <c r="L510" s="7">
        <v>1</v>
      </c>
      <c r="M510" s="8">
        <v>62.275199999999998</v>
      </c>
      <c r="N510" s="8">
        <v>10.23712484592903</v>
      </c>
      <c r="O510" s="8">
        <v>1.36858524945398E-2</v>
      </c>
      <c r="P510" s="8">
        <v>7.1586179038129874E-2</v>
      </c>
      <c r="Q510" s="8">
        <v>0.53284765236368314</v>
      </c>
      <c r="R510" s="3">
        <v>7.4075309531551423E-3</v>
      </c>
      <c r="S510" s="33">
        <v>0.16411731154872483</v>
      </c>
      <c r="T510" s="5">
        <v>81</v>
      </c>
      <c r="U510" s="34">
        <v>0.12740310000000002</v>
      </c>
      <c r="V510">
        <v>28.57</v>
      </c>
    </row>
    <row r="511" spans="1:22" ht="16" x14ac:dyDescent="0.2">
      <c r="A511" s="2" t="s">
        <v>45</v>
      </c>
      <c r="B511" s="5">
        <v>2022</v>
      </c>
      <c r="C511" s="8">
        <v>14.50132438762502</v>
      </c>
      <c r="D511" s="4">
        <v>0.3547656836282167</v>
      </c>
      <c r="E511" s="6">
        <v>9.4420573235380039E-3</v>
      </c>
      <c r="F511" s="11">
        <v>0.99380000000000002</v>
      </c>
      <c r="G511" s="8">
        <v>241.58793700000001</v>
      </c>
      <c r="H511" s="7">
        <v>91.614138161992699</v>
      </c>
      <c r="I511" s="4">
        <v>2545.09605328</v>
      </c>
      <c r="J511" s="11">
        <v>1.6259999999999999</v>
      </c>
      <c r="K511" s="11">
        <v>49.565199999999997</v>
      </c>
      <c r="L511" s="7">
        <v>1</v>
      </c>
      <c r="M511" s="8">
        <v>66.302899999999994</v>
      </c>
      <c r="N511" s="8">
        <v>10.177031954928797</v>
      </c>
      <c r="O511" s="8">
        <v>1.2746307479475234E-2</v>
      </c>
      <c r="P511" s="8">
        <v>9.1502735974412844E-2</v>
      </c>
      <c r="Q511" s="8">
        <v>0.72790417163612098</v>
      </c>
      <c r="R511" s="3">
        <v>7.6436017694338941E-3</v>
      </c>
      <c r="S511" s="33">
        <v>7.355736131395868E-2</v>
      </c>
      <c r="T511" s="5">
        <v>80.8</v>
      </c>
      <c r="U511" s="34">
        <v>0.28625994999999999</v>
      </c>
      <c r="V511">
        <v>30.74</v>
      </c>
    </row>
    <row r="512" spans="1:22" x14ac:dyDescent="0.2">
      <c r="U512" s="34"/>
    </row>
    <row r="513" spans="1:22" ht="16" x14ac:dyDescent="0.2">
      <c r="A513" s="2" t="s">
        <v>46</v>
      </c>
      <c r="B513" s="5">
        <v>2014</v>
      </c>
      <c r="C513" s="8">
        <v>7.6629121728209046</v>
      </c>
      <c r="D513" s="4">
        <v>2.4581042562452113</v>
      </c>
      <c r="E513" s="6">
        <v>-1.4953479897285571E-2</v>
      </c>
      <c r="F513" s="11">
        <v>1.0133000000000001</v>
      </c>
      <c r="G513" s="8">
        <v>0</v>
      </c>
      <c r="H513" s="7">
        <v>-100</v>
      </c>
      <c r="I513" s="4">
        <v>3941.0261362200004</v>
      </c>
      <c r="J513" s="11">
        <v>1.5459000000000001</v>
      </c>
      <c r="K513" s="11">
        <v>39.275700000000001</v>
      </c>
      <c r="L513" s="7">
        <v>1</v>
      </c>
      <c r="M513" s="8">
        <v>321.80700000000002</v>
      </c>
      <c r="N513" s="8">
        <v>11.546737405897654</v>
      </c>
      <c r="O513" s="8">
        <v>1.23008778223327E-2</v>
      </c>
      <c r="P513" s="8">
        <v>8.3624159954467932E-6</v>
      </c>
      <c r="Q513" s="8">
        <v>0.55507976373215961</v>
      </c>
      <c r="R513" s="3">
        <v>8.7594322972117493E-3</v>
      </c>
      <c r="S513" s="33">
        <v>9.5263087248195086E-2</v>
      </c>
      <c r="T513" s="5">
        <v>86.7</v>
      </c>
      <c r="U513" s="34">
        <v>0.30936659166666663</v>
      </c>
      <c r="V513">
        <v>29.85</v>
      </c>
    </row>
    <row r="514" spans="1:22" ht="16" x14ac:dyDescent="0.2">
      <c r="A514" s="2" t="s">
        <v>46</v>
      </c>
      <c r="B514" s="5">
        <v>2015</v>
      </c>
      <c r="C514" s="8">
        <v>7.2178486985072947</v>
      </c>
      <c r="D514" s="4">
        <v>0.49229307525553867</v>
      </c>
      <c r="E514" s="6">
        <v>9.7518331812602842E-3</v>
      </c>
      <c r="F514" s="11">
        <v>0.99870000000000003</v>
      </c>
      <c r="G514" s="8">
        <v>0.14399999999999999</v>
      </c>
      <c r="H514" s="7">
        <v>0</v>
      </c>
      <c r="I514" s="4">
        <v>4862.9910159900001</v>
      </c>
      <c r="J514" s="11">
        <v>1.5126999999999999</v>
      </c>
      <c r="K514" s="11">
        <v>41.814900000000002</v>
      </c>
      <c r="L514" s="7">
        <v>1</v>
      </c>
      <c r="M514" s="8">
        <v>252.9624</v>
      </c>
      <c r="N514" s="8">
        <v>11.544891240940499</v>
      </c>
      <c r="O514" s="8">
        <v>1.2892957113904447E-2</v>
      </c>
      <c r="P514" s="8">
        <v>6.7154670639159482E-4</v>
      </c>
      <c r="Q514" s="8">
        <v>0.54968258399700309</v>
      </c>
      <c r="R514" s="3">
        <v>8.1834032055194648E-3</v>
      </c>
      <c r="S514" s="33">
        <v>4.523091029135138E-2</v>
      </c>
      <c r="T514" s="5">
        <v>87.6</v>
      </c>
      <c r="U514" s="34">
        <v>0.23487085833333335</v>
      </c>
      <c r="V514">
        <v>30.48</v>
      </c>
    </row>
    <row r="515" spans="1:22" ht="16" x14ac:dyDescent="0.2">
      <c r="A515" s="2" t="s">
        <v>46</v>
      </c>
      <c r="B515" s="5">
        <v>2016</v>
      </c>
      <c r="C515" s="8">
        <v>5.6373604247148679</v>
      </c>
      <c r="D515" s="4">
        <v>0.96913377253402855</v>
      </c>
      <c r="E515" s="6">
        <v>4.3011424680427981E-3</v>
      </c>
      <c r="F515" s="11">
        <v>1.0063</v>
      </c>
      <c r="G515" s="8">
        <v>0.53800000000000003</v>
      </c>
      <c r="H515" s="7">
        <v>273.61111111111114</v>
      </c>
      <c r="I515" s="4">
        <v>5708.4055768600001</v>
      </c>
      <c r="J515" s="11">
        <v>1.4617</v>
      </c>
      <c r="K515" s="11">
        <v>42.762599999999999</v>
      </c>
      <c r="L515" s="7">
        <v>1</v>
      </c>
      <c r="M515" s="8">
        <v>254.69069999999999</v>
      </c>
      <c r="N515" s="8">
        <v>11.537470162231424</v>
      </c>
      <c r="O515" s="8">
        <v>1.5134258850600275E-2</v>
      </c>
      <c r="P515" s="8">
        <v>2.4579245134361814E-5</v>
      </c>
      <c r="Q515" s="8">
        <v>0.59305622583011286</v>
      </c>
      <c r="R515" s="3">
        <v>8.1384067119853274E-3</v>
      </c>
      <c r="S515" s="33">
        <v>0.11310164338924761</v>
      </c>
      <c r="T515" s="5">
        <v>87.2</v>
      </c>
      <c r="U515" s="34">
        <v>0.41611095833333328</v>
      </c>
      <c r="V515">
        <v>33.01</v>
      </c>
    </row>
    <row r="516" spans="1:22" ht="16" x14ac:dyDescent="0.2">
      <c r="A516" s="2" t="s">
        <v>46</v>
      </c>
      <c r="B516" s="5">
        <v>2017</v>
      </c>
      <c r="C516" s="8">
        <v>6.2116973658475709</v>
      </c>
      <c r="D516" s="4">
        <v>0.33216020799860935</v>
      </c>
      <c r="E516" s="6">
        <v>5.5818915586541128E-3</v>
      </c>
      <c r="F516" s="11">
        <v>1.0082</v>
      </c>
      <c r="G516" s="8">
        <v>1.4319999999999999</v>
      </c>
      <c r="H516" s="7">
        <v>166.17100371747208</v>
      </c>
      <c r="I516" s="4">
        <v>7651.9842432000005</v>
      </c>
      <c r="J516" s="11">
        <v>1.3335999999999999</v>
      </c>
      <c r="K516" s="11">
        <v>44.250399999999999</v>
      </c>
      <c r="L516" s="7">
        <v>1</v>
      </c>
      <c r="M516" s="8">
        <v>247.7321</v>
      </c>
      <c r="N516" s="8">
        <v>11.691592467006416</v>
      </c>
      <c r="O516" s="8">
        <v>1.5599646303833222E-2</v>
      </c>
      <c r="P516" s="8">
        <v>8.6791605796912474E-5</v>
      </c>
      <c r="Q516" s="8">
        <v>0.72982756890457656</v>
      </c>
      <c r="R516" s="3">
        <v>7.6280825753869876E-3</v>
      </c>
      <c r="S516" s="33">
        <v>0.14053805237899461</v>
      </c>
      <c r="T516" s="5">
        <v>85</v>
      </c>
      <c r="U516" s="34">
        <v>0.15523289166666668</v>
      </c>
      <c r="V516">
        <v>30.39</v>
      </c>
    </row>
    <row r="517" spans="1:22" ht="16" x14ac:dyDescent="0.2">
      <c r="A517" s="2" t="s">
        <v>46</v>
      </c>
      <c r="B517" s="5">
        <v>2018</v>
      </c>
      <c r="C517" s="8">
        <v>6.5707940724622711</v>
      </c>
      <c r="D517" s="4">
        <v>0.26183325036379557</v>
      </c>
      <c r="E517" s="6">
        <v>7.8770136809765707E-3</v>
      </c>
      <c r="F517" s="11">
        <v>1.0108999999999999</v>
      </c>
      <c r="G517" s="8">
        <v>2.66</v>
      </c>
      <c r="H517" s="7">
        <v>85.754189944134097</v>
      </c>
      <c r="I517" s="4">
        <v>9165.28689648</v>
      </c>
      <c r="J517" s="11">
        <v>1.3928</v>
      </c>
      <c r="K517" s="11">
        <v>47.342100000000002</v>
      </c>
      <c r="L517" s="7">
        <v>1</v>
      </c>
      <c r="M517" s="8">
        <v>242.7698</v>
      </c>
      <c r="N517" s="8">
        <v>11.65895744343498</v>
      </c>
      <c r="O517" s="8">
        <v>1.5782629151493192E-2</v>
      </c>
      <c r="P517" s="8">
        <v>4.3146014354648739E-5</v>
      </c>
      <c r="Q517" s="8">
        <v>0.98089622498887619</v>
      </c>
      <c r="R517" s="3">
        <v>8.3038452556388181E-3</v>
      </c>
      <c r="S517" s="33">
        <v>2.9216410393568825E-2</v>
      </c>
      <c r="T517" s="5">
        <v>82.5</v>
      </c>
      <c r="U517" s="34">
        <v>2.8814983333333336E-2</v>
      </c>
      <c r="V517">
        <v>30.12</v>
      </c>
    </row>
    <row r="518" spans="1:22" ht="16" x14ac:dyDescent="0.2">
      <c r="A518" s="2" t="s">
        <v>46</v>
      </c>
      <c r="B518" s="5">
        <v>2019</v>
      </c>
      <c r="C518" s="8">
        <v>6.6285801990473434</v>
      </c>
      <c r="D518" s="4">
        <v>0.42433749020278239</v>
      </c>
      <c r="E518" s="6">
        <v>4.7650847133903973E-3</v>
      </c>
      <c r="F518" s="11">
        <v>1.0249999999999999</v>
      </c>
      <c r="G518" s="8">
        <v>2.4569999999999999</v>
      </c>
      <c r="H518" s="7">
        <v>-7.6315789473684319</v>
      </c>
      <c r="I518" s="4">
        <v>9199.3253034600002</v>
      </c>
      <c r="J518" s="11">
        <v>1.2667999999999999</v>
      </c>
      <c r="K518" s="11">
        <v>48.727400000000003</v>
      </c>
      <c r="L518" s="7">
        <v>1</v>
      </c>
      <c r="M518" s="8">
        <v>231.85720000000001</v>
      </c>
      <c r="N518" s="8">
        <v>11.721160610610804</v>
      </c>
      <c r="O518" s="8">
        <v>1.5350955924278748E-2</v>
      </c>
      <c r="P518" s="8">
        <v>2.3743349951745699E-5</v>
      </c>
      <c r="Q518" s="8">
        <v>1.0926790829928514</v>
      </c>
      <c r="R518" s="3">
        <v>7.8581789617418532E-3</v>
      </c>
      <c r="S518" s="33">
        <v>3.5027857139206212E-2</v>
      </c>
      <c r="T518" s="5">
        <v>80.3</v>
      </c>
      <c r="U518" s="34">
        <v>2.3433308333333333E-2</v>
      </c>
      <c r="V518">
        <v>30.86</v>
      </c>
    </row>
    <row r="519" spans="1:22" ht="16" x14ac:dyDescent="0.2">
      <c r="A519" s="2" t="s">
        <v>46</v>
      </c>
      <c r="B519" s="5">
        <v>2020</v>
      </c>
      <c r="C519" s="8">
        <v>5.5764192974789957</v>
      </c>
      <c r="D519" s="4">
        <v>-3.4268327318099923</v>
      </c>
      <c r="E519" s="6">
        <v>4.7949885882122206E-2</v>
      </c>
      <c r="F519" s="11">
        <v>1.0204</v>
      </c>
      <c r="G519" s="8">
        <v>1.929</v>
      </c>
      <c r="H519" s="7">
        <v>-21.489621489621484</v>
      </c>
      <c r="I519" s="4">
        <v>14989.54643004</v>
      </c>
      <c r="J519" s="11">
        <v>1.0722</v>
      </c>
      <c r="K519" s="11">
        <v>51.255800000000001</v>
      </c>
      <c r="L519" s="7">
        <v>1</v>
      </c>
      <c r="M519" s="8">
        <v>229.9091</v>
      </c>
      <c r="N519" s="8">
        <v>11.829682548140742</v>
      </c>
      <c r="O519" s="7">
        <v>1.4510220861073765E-2</v>
      </c>
      <c r="P519" s="8">
        <v>1.5254951246672897E-5</v>
      </c>
      <c r="Q519" s="8">
        <v>0.61918273264555279</v>
      </c>
      <c r="R519" s="3">
        <v>7.4651912083545952E-3</v>
      </c>
      <c r="S519" s="33">
        <v>-4.5924613649292165E-2</v>
      </c>
      <c r="T519" s="5">
        <v>79.2</v>
      </c>
      <c r="U519" s="34">
        <v>0.11969824166666666</v>
      </c>
      <c r="V519">
        <v>29.41</v>
      </c>
    </row>
    <row r="520" spans="1:22" ht="16" x14ac:dyDescent="0.2">
      <c r="A520" s="2" t="s">
        <v>46</v>
      </c>
      <c r="B520" s="5">
        <v>2021</v>
      </c>
      <c r="C520" s="8">
        <v>5.3662474185676174</v>
      </c>
      <c r="D520" s="4">
        <v>-3.3062498939082348</v>
      </c>
      <c r="E520" s="6">
        <v>4.296267606756931E-2</v>
      </c>
      <c r="F520" s="11">
        <v>1.0371999999999999</v>
      </c>
      <c r="G520" s="8">
        <v>1.6080000000000001</v>
      </c>
      <c r="H520" s="7">
        <v>-16.640746500777603</v>
      </c>
      <c r="I520" s="4">
        <v>19746.315063419999</v>
      </c>
      <c r="J520" s="11">
        <v>1.0547</v>
      </c>
      <c r="K520" s="11">
        <v>50.7575</v>
      </c>
      <c r="L520" s="7">
        <v>1</v>
      </c>
      <c r="M520" s="8">
        <v>216.3974</v>
      </c>
      <c r="N520" s="8">
        <v>11.922517062066369</v>
      </c>
      <c r="O520" s="8">
        <v>1.4441301558269724E-2</v>
      </c>
      <c r="P520" s="8">
        <v>1.9446256112430014E-5</v>
      </c>
      <c r="Q520" s="8">
        <v>0.36199463916569047</v>
      </c>
      <c r="R520" s="3">
        <v>7.1106907028460438E-3</v>
      </c>
      <c r="S520" s="33">
        <v>0.16411731154872483</v>
      </c>
      <c r="T520" s="5">
        <v>81</v>
      </c>
      <c r="U520" s="34">
        <v>0.12740310000000002</v>
      </c>
      <c r="V520">
        <v>28.57</v>
      </c>
    </row>
    <row r="521" spans="1:22" ht="16" x14ac:dyDescent="0.2">
      <c r="A521" s="2" t="s">
        <v>46</v>
      </c>
      <c r="B521" s="5">
        <v>2022</v>
      </c>
      <c r="C521" s="8">
        <v>3.8708908128593502</v>
      </c>
      <c r="D521" s="4">
        <v>0.76650399785013024</v>
      </c>
      <c r="E521" s="6">
        <v>6.6323224677463056E-3</v>
      </c>
      <c r="F521" s="11">
        <v>1.0304</v>
      </c>
      <c r="G521" s="8">
        <v>2.3109999999999999</v>
      </c>
      <c r="H521" s="7">
        <v>43.718905472636806</v>
      </c>
      <c r="I521" s="4">
        <v>11483.88547152</v>
      </c>
      <c r="J521" s="11">
        <v>1.2262</v>
      </c>
      <c r="K521" s="11">
        <v>59.304699999999997</v>
      </c>
      <c r="L521" s="7">
        <v>1</v>
      </c>
      <c r="M521" s="8">
        <v>247.23519999999999</v>
      </c>
      <c r="N521" s="8">
        <v>11.791697315028452</v>
      </c>
      <c r="O521" s="8">
        <v>1.4441301558269724E-2</v>
      </c>
      <c r="P521" s="8">
        <v>5.5618370766933474E-5</v>
      </c>
      <c r="Q521" s="8">
        <v>1.5162518220402903</v>
      </c>
      <c r="R521" s="3">
        <v>7.9309038648356055E-3</v>
      </c>
      <c r="S521" s="33">
        <v>7.355736131395868E-2</v>
      </c>
      <c r="T521" s="5">
        <v>80.8</v>
      </c>
      <c r="U521" s="34">
        <v>0.28625994999999999</v>
      </c>
      <c r="V521">
        <v>30.74</v>
      </c>
    </row>
    <row r="522" spans="1:22" x14ac:dyDescent="0.2">
      <c r="A522" s="2"/>
      <c r="C522" s="8"/>
      <c r="D522" s="4"/>
      <c r="E522" s="6"/>
      <c r="F522" s="11"/>
      <c r="G522" s="8"/>
      <c r="I522" s="4"/>
      <c r="J522" s="11"/>
      <c r="K522" s="11"/>
      <c r="L522" s="7"/>
      <c r="M522" s="8"/>
      <c r="N522" s="8"/>
      <c r="O522" s="8"/>
      <c r="P522" s="8"/>
      <c r="Q522" s="8"/>
      <c r="R522" s="3"/>
      <c r="U522" s="34"/>
    </row>
    <row r="523" spans="1:22" ht="16" x14ac:dyDescent="0.2">
      <c r="A523" s="2" t="s">
        <v>97</v>
      </c>
      <c r="B523" s="5">
        <v>2014</v>
      </c>
      <c r="C523" s="24">
        <v>22.016006517622625</v>
      </c>
      <c r="D523" s="4">
        <v>0.64216398570123856</v>
      </c>
      <c r="E523" s="27">
        <v>2.4792963262385823E-3</v>
      </c>
      <c r="F523" s="26">
        <v>1.0205</v>
      </c>
      <c r="G523" s="4">
        <f>864153/1000000</f>
        <v>0.86415299999999995</v>
      </c>
      <c r="H523" s="7">
        <v>-67.762666299999992</v>
      </c>
      <c r="I523" s="4">
        <v>3014.30849094</v>
      </c>
      <c r="J523" s="26">
        <v>1.5058</v>
      </c>
      <c r="K523" s="26">
        <v>37.133299999999998</v>
      </c>
      <c r="L523" s="28">
        <v>1</v>
      </c>
      <c r="M523" s="26">
        <v>61.25</v>
      </c>
      <c r="N523" s="24">
        <v>10.794977641134807</v>
      </c>
      <c r="O523" s="24">
        <v>1.1573524718468854E-2</v>
      </c>
      <c r="P523" s="24">
        <v>4.1886878956316223E-2</v>
      </c>
      <c r="Q523" s="24">
        <v>0.64261934364443407</v>
      </c>
      <c r="R523" s="3">
        <v>6.8626247226070119E-3</v>
      </c>
      <c r="S523" s="33">
        <v>9.5263087248195086E-2</v>
      </c>
      <c r="T523" s="5">
        <v>86.7</v>
      </c>
      <c r="U523" s="34">
        <v>0.30936659166666663</v>
      </c>
      <c r="V523">
        <v>29.85</v>
      </c>
    </row>
    <row r="524" spans="1:22" ht="16" x14ac:dyDescent="0.2">
      <c r="A524" s="2" t="s">
        <v>97</v>
      </c>
      <c r="B524" s="5">
        <v>2015</v>
      </c>
      <c r="C524" s="24">
        <v>22.564862370790838</v>
      </c>
      <c r="D524" s="4">
        <v>0.16501865395889154</v>
      </c>
      <c r="E524" s="27">
        <v>5.9482496572915398E-3</v>
      </c>
      <c r="F524" s="26">
        <v>1.0051000000000001</v>
      </c>
      <c r="G524" s="4">
        <f>3986404/1000000</f>
        <v>3.9864039999999998</v>
      </c>
      <c r="H524" s="7">
        <v>361.30766199999999</v>
      </c>
      <c r="I524" s="4">
        <v>4704.3992065000002</v>
      </c>
      <c r="J524" s="26">
        <v>1.4625999999999999</v>
      </c>
      <c r="K524" s="26">
        <v>38.409799999999997</v>
      </c>
      <c r="L524" s="28">
        <v>1</v>
      </c>
      <c r="M524" s="26">
        <v>55.4024</v>
      </c>
      <c r="N524" s="24">
        <v>10.806978819626966</v>
      </c>
      <c r="O524" s="24">
        <v>1.189457519870836E-2</v>
      </c>
      <c r="P524" s="24">
        <v>5.9378468646398022E-2</v>
      </c>
      <c r="Q524" s="24">
        <v>0.61575742557092716</v>
      </c>
      <c r="R524" s="3">
        <v>6.440099997370015E-3</v>
      </c>
      <c r="S524" s="33">
        <v>4.523091029135138E-2</v>
      </c>
      <c r="T524" s="5">
        <v>87.6</v>
      </c>
      <c r="U524" s="34">
        <v>0.23487085833333335</v>
      </c>
      <c r="V524">
        <v>30.48</v>
      </c>
    </row>
    <row r="525" spans="1:22" ht="16" x14ac:dyDescent="0.2">
      <c r="A525" s="2" t="s">
        <v>97</v>
      </c>
      <c r="B525" s="5">
        <v>2016</v>
      </c>
      <c r="C525" s="24">
        <v>21.761711926063636</v>
      </c>
      <c r="D525" s="4">
        <v>0.19845173074015077</v>
      </c>
      <c r="E525" s="27">
        <v>5.4947686261742623E-3</v>
      </c>
      <c r="F525" s="26">
        <v>0.99370000000000003</v>
      </c>
      <c r="G525" s="4">
        <f>9229845/1000000</f>
        <v>9.2298449999999992</v>
      </c>
      <c r="H525" s="7">
        <v>131.533106</v>
      </c>
      <c r="I525" s="4">
        <v>5165.62372512</v>
      </c>
      <c r="J525" s="26">
        <v>1.4670000000000001</v>
      </c>
      <c r="K525" s="26">
        <v>39.4392</v>
      </c>
      <c r="L525" s="28">
        <v>1</v>
      </c>
      <c r="M525" s="26">
        <v>53.3947</v>
      </c>
      <c r="N525" s="24">
        <v>10.836492878046387</v>
      </c>
      <c r="O525" s="24">
        <v>1.1828340388401274E-2</v>
      </c>
      <c r="P525" s="24">
        <v>3.9719263118111393E-2</v>
      </c>
      <c r="Q525" s="24">
        <v>0.5145024802048388</v>
      </c>
      <c r="R525" s="3">
        <v>6.3985606603539713E-3</v>
      </c>
      <c r="S525" s="33">
        <v>0.11310164338924761</v>
      </c>
      <c r="T525" s="5">
        <v>87.2</v>
      </c>
      <c r="U525" s="34">
        <v>0.41611095833333328</v>
      </c>
      <c r="V525">
        <v>33.01</v>
      </c>
    </row>
    <row r="526" spans="1:22" ht="16" x14ac:dyDescent="0.2">
      <c r="A526" s="2" t="s">
        <v>97</v>
      </c>
      <c r="B526" s="5">
        <v>2017</v>
      </c>
      <c r="C526" s="24">
        <v>22.019066276489468</v>
      </c>
      <c r="D526" s="4">
        <v>3.5517396750996086</v>
      </c>
      <c r="E526" s="27">
        <v>-2.7311689519339221E-2</v>
      </c>
      <c r="F526" s="26">
        <v>1.0083</v>
      </c>
      <c r="G526" s="4">
        <f>6962967/1000000</f>
        <v>6.9629669999999999</v>
      </c>
      <c r="H526" s="7">
        <v>-24.5603041</v>
      </c>
      <c r="I526" s="4">
        <v>6958.7726562000007</v>
      </c>
      <c r="J526" s="26">
        <v>1.5366</v>
      </c>
      <c r="K526" s="26">
        <v>37.0685</v>
      </c>
      <c r="L526" s="28">
        <v>1</v>
      </c>
      <c r="M526" s="26">
        <v>73.196299999999994</v>
      </c>
      <c r="N526" s="24">
        <v>10.975550197899182</v>
      </c>
      <c r="O526" s="24">
        <v>1.1135146512435015E-2</v>
      </c>
      <c r="P526" s="24">
        <v>4.3088487173833935E-2</v>
      </c>
      <c r="Q526" s="24">
        <v>0.50296155726782188</v>
      </c>
      <c r="R526" s="3">
        <v>6.7254827837753949E-3</v>
      </c>
      <c r="S526" s="33">
        <v>0.14053805237899461</v>
      </c>
      <c r="T526" s="5">
        <v>85</v>
      </c>
      <c r="U526" s="34">
        <v>0.15523289166666668</v>
      </c>
      <c r="V526">
        <v>30.39</v>
      </c>
    </row>
    <row r="527" spans="1:22" ht="16" x14ac:dyDescent="0.2">
      <c r="A527" s="2" t="s">
        <v>97</v>
      </c>
      <c r="B527" s="5">
        <v>2018</v>
      </c>
      <c r="C527" s="24">
        <v>22.645487139295785</v>
      </c>
      <c r="D527" s="4">
        <v>0.54963798195693092</v>
      </c>
      <c r="E527" s="27">
        <v>4.064484361372557E-3</v>
      </c>
      <c r="F527" s="26">
        <v>1.0176000000000001</v>
      </c>
      <c r="G527" s="4">
        <f>7285794/1000000</f>
        <v>7.2857940000000001</v>
      </c>
      <c r="H527" s="7">
        <v>4.6363424999999996</v>
      </c>
      <c r="I527" s="4">
        <v>5731.38997767</v>
      </c>
      <c r="J527" s="26">
        <v>1.6667000000000001</v>
      </c>
      <c r="K527" s="26">
        <v>36.972700000000003</v>
      </c>
      <c r="L527" s="28">
        <v>1</v>
      </c>
      <c r="M527" s="26">
        <v>80.853700000000003</v>
      </c>
      <c r="N527" s="24">
        <v>11.032100165701584</v>
      </c>
      <c r="O527" s="24">
        <v>1.0518654977808307E-2</v>
      </c>
      <c r="P527" s="24">
        <v>3.1997139302175584E-2</v>
      </c>
      <c r="Q527" s="24">
        <v>0.65208862209504614</v>
      </c>
      <c r="R527" s="3">
        <v>6.893929564190558E-3</v>
      </c>
      <c r="S527" s="33">
        <v>2.9216410393568825E-2</v>
      </c>
      <c r="T527" s="5">
        <v>82.5</v>
      </c>
      <c r="U527" s="34">
        <v>2.8814983333333336E-2</v>
      </c>
      <c r="V527">
        <v>30.12</v>
      </c>
    </row>
    <row r="528" spans="1:22" ht="16" x14ac:dyDescent="0.2">
      <c r="A528" s="2" t="s">
        <v>97</v>
      </c>
      <c r="B528" s="5">
        <v>2019</v>
      </c>
      <c r="C528" s="24">
        <v>22.299944758455027</v>
      </c>
      <c r="D528" s="4">
        <v>0.51739415108966613</v>
      </c>
      <c r="E528" s="27">
        <v>9.5358060077970971E-3</v>
      </c>
      <c r="F528" s="26">
        <v>1.038</v>
      </c>
      <c r="G528" s="4">
        <f>10677431/1000000</f>
        <v>10.677431</v>
      </c>
      <c r="H528" s="7">
        <v>46.551371099999997</v>
      </c>
      <c r="I528" s="4">
        <v>4982.279881460001</v>
      </c>
      <c r="J528" s="26">
        <v>1.6641999999999999</v>
      </c>
      <c r="K528" s="26">
        <v>37.948099999999997</v>
      </c>
      <c r="L528" s="28">
        <v>1</v>
      </c>
      <c r="M528" s="26">
        <v>81.431700000000006</v>
      </c>
      <c r="N528" s="24">
        <v>11.147513675706854</v>
      </c>
      <c r="O528" s="24">
        <v>9.9658412219680477E-3</v>
      </c>
      <c r="P528" s="24">
        <v>2.7782409531926511E-2</v>
      </c>
      <c r="Q528" s="24">
        <v>0.85755679419810926</v>
      </c>
      <c r="R528" s="3">
        <v>6.8282740577437322E-3</v>
      </c>
      <c r="S528" s="33">
        <v>3.5027857139206212E-2</v>
      </c>
      <c r="T528" s="5">
        <v>80.3</v>
      </c>
      <c r="U528" s="34">
        <v>2.3433308333333333E-2</v>
      </c>
      <c r="V528">
        <v>30.86</v>
      </c>
    </row>
    <row r="529" spans="1:22" ht="16" x14ac:dyDescent="0.2">
      <c r="A529" s="2" t="s">
        <v>97</v>
      </c>
      <c r="B529" s="5">
        <v>2020</v>
      </c>
      <c r="C529" s="24">
        <v>19.699126388299739</v>
      </c>
      <c r="D529" s="4">
        <v>-10.425416123709889</v>
      </c>
      <c r="E529" s="27">
        <v>0.12551923848965141</v>
      </c>
      <c r="F529" s="26">
        <v>1.0135000000000001</v>
      </c>
      <c r="G529" s="4">
        <f>5546603/1000000</f>
        <v>5.5466030000000002</v>
      </c>
      <c r="H529" s="7">
        <v>-48.053019499999998</v>
      </c>
      <c r="I529" s="4">
        <v>5883.6266847799998</v>
      </c>
      <c r="J529" s="26">
        <v>1.4117</v>
      </c>
      <c r="K529" s="26">
        <v>39.745199999999997</v>
      </c>
      <c r="L529" s="28">
        <v>1</v>
      </c>
      <c r="M529" s="26">
        <v>81.750299999999996</v>
      </c>
      <c r="N529" s="24">
        <v>11.228414265316859</v>
      </c>
      <c r="O529" s="24">
        <v>1.0211107059755815E-2</v>
      </c>
      <c r="P529" s="24">
        <v>3.8113976777876604E-2</v>
      </c>
      <c r="Q529" s="24">
        <v>0.73167724028932091</v>
      </c>
      <c r="R529" s="3">
        <v>6.8477123930731987E-3</v>
      </c>
      <c r="S529" s="33">
        <v>-4.5924613649292165E-2</v>
      </c>
      <c r="T529" s="5">
        <v>79.2</v>
      </c>
      <c r="U529" s="34">
        <v>0.11969824166666666</v>
      </c>
      <c r="V529">
        <v>29.41</v>
      </c>
    </row>
    <row r="530" spans="1:22" ht="16" x14ac:dyDescent="0.2">
      <c r="A530" s="2" t="s">
        <v>97</v>
      </c>
      <c r="B530" s="5">
        <v>2021</v>
      </c>
      <c r="C530" s="24">
        <v>20.4543641729875</v>
      </c>
      <c r="D530" s="4">
        <v>-6.182344742359545</v>
      </c>
      <c r="E530" s="27">
        <v>7.676975079272666E-2</v>
      </c>
      <c r="F530" s="26">
        <v>1.0249999999999999</v>
      </c>
      <c r="G530" s="4">
        <f>6686702/1000000</f>
        <v>6.6867020000000004</v>
      </c>
      <c r="H530" s="7">
        <v>20.554905400000003</v>
      </c>
      <c r="I530" s="4">
        <v>3486.9348588800003</v>
      </c>
      <c r="J530" s="26">
        <v>1.4061999999999999</v>
      </c>
      <c r="K530" s="26">
        <v>39.609400000000001</v>
      </c>
      <c r="L530" s="28">
        <v>1</v>
      </c>
      <c r="M530" s="26">
        <v>83.012200000000007</v>
      </c>
      <c r="N530" s="24">
        <v>11.255651397839014</v>
      </c>
      <c r="O530" s="24">
        <v>1.0789423624543401E-2</v>
      </c>
      <c r="P530" s="24">
        <v>3.2843192772429468E-2</v>
      </c>
      <c r="Q530" s="24">
        <v>0.41383227833064157</v>
      </c>
      <c r="R530" s="3">
        <v>6.6236841034842857E-3</v>
      </c>
      <c r="S530" s="33">
        <v>0.16411731154872483</v>
      </c>
      <c r="T530" s="5">
        <v>81</v>
      </c>
      <c r="U530" s="34">
        <v>0.12740310000000002</v>
      </c>
      <c r="V530">
        <v>28.57</v>
      </c>
    </row>
    <row r="531" spans="1:22" ht="16" x14ac:dyDescent="0.2">
      <c r="A531" s="2" t="s">
        <v>97</v>
      </c>
      <c r="B531" s="5">
        <v>2022</v>
      </c>
      <c r="C531" s="24">
        <v>20.40228253556602</v>
      </c>
      <c r="D531" s="4">
        <v>0.57926631137338946</v>
      </c>
      <c r="E531" s="27">
        <v>1.0469201196073578E-2</v>
      </c>
      <c r="F531" s="26">
        <v>1.0188999999999999</v>
      </c>
      <c r="G531" s="8">
        <v>0</v>
      </c>
      <c r="H531" s="7">
        <v>-100</v>
      </c>
      <c r="I531" s="4">
        <v>4464.5605738000004</v>
      </c>
      <c r="J531" s="26">
        <v>1.6986000000000001</v>
      </c>
      <c r="K531" s="26">
        <v>38.605200000000004</v>
      </c>
      <c r="L531" s="28">
        <v>1</v>
      </c>
      <c r="M531" s="26">
        <v>53.839399999999998</v>
      </c>
      <c r="N531" s="24">
        <v>11.234143907821588</v>
      </c>
      <c r="O531" s="24">
        <v>1.2721957273368646E-2</v>
      </c>
      <c r="P531" s="24">
        <v>3.0398734866863907E-2</v>
      </c>
      <c r="Q531" s="24">
        <v>0.73994280682218849</v>
      </c>
      <c r="R531" s="3">
        <v>6.5426462738921408E-3</v>
      </c>
      <c r="S531" s="33">
        <v>7.355736131395868E-2</v>
      </c>
      <c r="T531" s="5">
        <v>80.8</v>
      </c>
      <c r="U531" s="34">
        <v>0.28625994999999999</v>
      </c>
      <c r="V531">
        <v>30.74</v>
      </c>
    </row>
    <row r="532" spans="1:22" x14ac:dyDescent="0.2">
      <c r="A532" s="5" t="s">
        <v>50</v>
      </c>
      <c r="U532" s="34"/>
    </row>
    <row r="533" spans="1:22" ht="16" x14ac:dyDescent="0.2">
      <c r="A533" s="2" t="s">
        <v>47</v>
      </c>
      <c r="B533" s="5">
        <v>2014</v>
      </c>
      <c r="C533" s="12">
        <v>5.637476653115912</v>
      </c>
      <c r="D533" s="4">
        <v>1.5977405878852025</v>
      </c>
      <c r="E533" s="6">
        <v>-2.3249937854800452E-3</v>
      </c>
      <c r="F533" s="11">
        <v>1.4161999999999999</v>
      </c>
      <c r="G533" s="8">
        <v>94.571590694155475</v>
      </c>
      <c r="H533" s="7">
        <v>-38.46541832166951</v>
      </c>
      <c r="I533" s="4">
        <v>6.90151644</v>
      </c>
      <c r="J533" s="11">
        <v>-0.92889999999999995</v>
      </c>
      <c r="K533" s="11">
        <v>59.101300000000002</v>
      </c>
      <c r="L533" s="7">
        <v>1</v>
      </c>
      <c r="M533" s="8">
        <v>88.652500000000003</v>
      </c>
      <c r="N533" s="8">
        <v>8.9448569560094722</v>
      </c>
      <c r="O533" s="8">
        <v>1.0652063947674898E-2</v>
      </c>
      <c r="P533" s="8">
        <v>0.62278604791503678</v>
      </c>
      <c r="Q533" s="8">
        <v>5.0407900050006345E-2</v>
      </c>
      <c r="R533" s="3">
        <v>1.1992765973864515E-4</v>
      </c>
      <c r="S533" s="33">
        <v>-6.0497682581134235E-2</v>
      </c>
      <c r="T533" s="5">
        <v>43</v>
      </c>
      <c r="U533" s="34">
        <v>0.10612881666666664</v>
      </c>
      <c r="V533">
        <v>105.944781034025</v>
      </c>
    </row>
    <row r="534" spans="1:22" ht="16" x14ac:dyDescent="0.2">
      <c r="A534" s="2" t="s">
        <v>47</v>
      </c>
      <c r="B534" s="5">
        <v>2015</v>
      </c>
      <c r="C534" s="12">
        <v>5.9835577278251861</v>
      </c>
      <c r="D534" s="4">
        <v>0.5453505699692387</v>
      </c>
      <c r="E534" s="6">
        <v>1.1801047482243483E-2</v>
      </c>
      <c r="F534" s="11">
        <v>1.6263000000000001</v>
      </c>
      <c r="G534" s="8">
        <v>82.610491532424618</v>
      </c>
      <c r="H534" s="7">
        <v>-12.64766625361421</v>
      </c>
      <c r="I534" s="4">
        <v>29.273043060000003</v>
      </c>
      <c r="J534" s="11">
        <v>0.11219999999999999</v>
      </c>
      <c r="K534" s="11">
        <v>60.4131</v>
      </c>
      <c r="L534" s="7">
        <v>1</v>
      </c>
      <c r="M534" s="8">
        <v>74.165599999999998</v>
      </c>
      <c r="N534" s="8">
        <v>8.8734353657237008</v>
      </c>
      <c r="O534" s="8">
        <v>4.4206065971357702E-3</v>
      </c>
      <c r="P534" s="8">
        <v>0.69522240869443996</v>
      </c>
      <c r="Q534" s="8">
        <v>3.3800244864258616E-2</v>
      </c>
      <c r="R534" s="3">
        <v>2.0721954025871339E-4</v>
      </c>
      <c r="S534" s="33">
        <v>-9.2314533358446485E-2</v>
      </c>
      <c r="T534" s="5">
        <v>44.8</v>
      </c>
      <c r="U534" s="34">
        <v>0.16251885833333332</v>
      </c>
      <c r="V534">
        <v>121.044025684011</v>
      </c>
    </row>
    <row r="535" spans="1:22" ht="16" x14ac:dyDescent="0.2">
      <c r="A535" s="2" t="s">
        <v>47</v>
      </c>
      <c r="B535" s="5">
        <v>2016</v>
      </c>
      <c r="C535" s="12">
        <v>5.9308309534787407</v>
      </c>
      <c r="D535" s="4">
        <v>0.4923718616233424</v>
      </c>
      <c r="E535" s="6">
        <v>1.7867685222261228E-2</v>
      </c>
      <c r="F535" s="11">
        <v>1.4227000000000001</v>
      </c>
      <c r="G535" s="8">
        <v>92.004784248780936</v>
      </c>
      <c r="H535" s="7">
        <v>11.371791333149323</v>
      </c>
      <c r="I535" s="4">
        <v>36.615400199999996</v>
      </c>
      <c r="J535" s="11">
        <v>1.0065999999999999</v>
      </c>
      <c r="K535" s="11">
        <v>61.6721</v>
      </c>
      <c r="L535" s="7">
        <v>1</v>
      </c>
      <c r="M535" s="8">
        <v>67.681899999999999</v>
      </c>
      <c r="N535" s="8">
        <v>9.0041468046059077</v>
      </c>
      <c r="O535" s="8">
        <v>4.0105198058458637E-3</v>
      </c>
      <c r="P535" s="8">
        <v>0.73026877997495931</v>
      </c>
      <c r="Q535" s="8">
        <v>3.3656154799401039E-2</v>
      </c>
      <c r="R535" s="3">
        <v>2.9588462851177588E-4</v>
      </c>
      <c r="S535" s="33">
        <v>0.12570431786897612</v>
      </c>
      <c r="T535" s="5">
        <v>44.6</v>
      </c>
      <c r="U535" s="34">
        <v>0.17348815833333334</v>
      </c>
      <c r="V535">
        <v>108.79290004683401</v>
      </c>
    </row>
    <row r="536" spans="1:22" ht="16" x14ac:dyDescent="0.2">
      <c r="A536" s="2" t="s">
        <v>47</v>
      </c>
      <c r="B536" s="5">
        <v>2017</v>
      </c>
      <c r="C536" s="12">
        <v>5.7275943576779413</v>
      </c>
      <c r="D536" s="4">
        <v>16.769209570556384</v>
      </c>
      <c r="E536" s="6">
        <v>-0.1555455723248734</v>
      </c>
      <c r="F536" s="11">
        <v>1.2450000000000001</v>
      </c>
      <c r="G536" s="8">
        <v>89.166295140436915</v>
      </c>
      <c r="H536" s="7">
        <v>-3.0851538118591164</v>
      </c>
      <c r="I536" s="4">
        <v>58.512133400000003</v>
      </c>
      <c r="J536" s="11">
        <v>1.8425</v>
      </c>
      <c r="K536" s="11">
        <v>62.392000000000003</v>
      </c>
      <c r="L536" s="7">
        <v>1</v>
      </c>
      <c r="M536" s="8">
        <v>65.337699999999998</v>
      </c>
      <c r="N536" s="8">
        <v>9.0600668080787159</v>
      </c>
      <c r="O536" s="8">
        <v>1.5128372237668693E-3</v>
      </c>
      <c r="P536" s="8">
        <v>0.71976541969881302</v>
      </c>
      <c r="Q536" s="8">
        <v>2.5958855462911375E-2</v>
      </c>
      <c r="R536" s="3">
        <v>3.4647276802735234E-4</v>
      </c>
      <c r="S536" s="33">
        <v>-1.4557344380430779E-2</v>
      </c>
      <c r="T536" s="5">
        <v>44</v>
      </c>
      <c r="U536" s="34">
        <v>6.9751091666666667E-2</v>
      </c>
      <c r="V536">
        <v>112.166141081871</v>
      </c>
    </row>
    <row r="537" spans="1:22" ht="16" x14ac:dyDescent="0.2">
      <c r="A537" s="2" t="s">
        <v>47</v>
      </c>
      <c r="B537" s="5">
        <v>2018</v>
      </c>
      <c r="C537" s="12">
        <v>5.4766457028416466</v>
      </c>
      <c r="D537" s="4">
        <v>1.1025429908554223</v>
      </c>
      <c r="E537" s="6">
        <v>3.1620232009490355E-3</v>
      </c>
      <c r="F537" s="11">
        <v>1.1874</v>
      </c>
      <c r="G537" s="8">
        <v>100.64346565162225</v>
      </c>
      <c r="H537" s="7">
        <v>12.871646728294353</v>
      </c>
      <c r="I537" s="4">
        <v>40.429646040000002</v>
      </c>
      <c r="J537" s="11">
        <v>2.9327999999999999</v>
      </c>
      <c r="K537" s="11">
        <v>61.7879</v>
      </c>
      <c r="L537" s="7">
        <v>1</v>
      </c>
      <c r="M537" s="8">
        <v>49.539900000000003</v>
      </c>
      <c r="N537" s="8">
        <v>9.1722340824221842</v>
      </c>
      <c r="O537" s="8">
        <v>1.5847660447625095E-3</v>
      </c>
      <c r="P537" s="8">
        <v>0.66880632638685411</v>
      </c>
      <c r="Q537" s="8">
        <v>1.8717145935315E-2</v>
      </c>
      <c r="R537" s="3">
        <v>3.6448641004763064E-4</v>
      </c>
      <c r="S537" s="33">
        <v>2.2317420335519114E-2</v>
      </c>
      <c r="T537" s="5">
        <v>45.2</v>
      </c>
      <c r="U537" s="34">
        <v>9.823383333333334E-2</v>
      </c>
      <c r="V537">
        <v>110.42317934106001</v>
      </c>
    </row>
    <row r="538" spans="1:22" ht="16" x14ac:dyDescent="0.2">
      <c r="A538" s="2" t="s">
        <v>47</v>
      </c>
      <c r="B538" s="5">
        <v>2019</v>
      </c>
      <c r="C538" s="12">
        <v>2.7942228323471547</v>
      </c>
      <c r="D538" s="4">
        <v>0.93746128488268687</v>
      </c>
      <c r="E538" s="6">
        <v>4.9771383792414281E-3</v>
      </c>
      <c r="F538" s="11">
        <v>1.1548</v>
      </c>
      <c r="G538" s="8">
        <v>98.899183561141172</v>
      </c>
      <c r="H538" s="7">
        <v>-1.7331299942699889</v>
      </c>
      <c r="I538" s="4">
        <v>29.896049539999996</v>
      </c>
      <c r="J538" s="11">
        <v>3.0211000000000001</v>
      </c>
      <c r="K538" s="11">
        <v>62.043199999999999</v>
      </c>
      <c r="L538" s="7">
        <v>1</v>
      </c>
      <c r="M538" s="8">
        <v>68.111699999999999</v>
      </c>
      <c r="N538" s="8">
        <v>9.2407708912493884</v>
      </c>
      <c r="O538" s="8">
        <v>1.0135689344050996E-3</v>
      </c>
      <c r="P538" s="8">
        <v>0.69466308035992008</v>
      </c>
      <c r="Q538" s="8">
        <v>1.6848509898387248E-2</v>
      </c>
      <c r="R538" s="3">
        <v>3.3390508927509774E-4</v>
      </c>
      <c r="S538" s="33">
        <v>1.5297507443604967E-2</v>
      </c>
      <c r="T538" s="5">
        <v>45.2</v>
      </c>
      <c r="U538" s="34">
        <v>0.16861495833333337</v>
      </c>
      <c r="V538">
        <v>109.009665900863</v>
      </c>
    </row>
    <row r="539" spans="1:22" ht="16" x14ac:dyDescent="0.2">
      <c r="A539" s="2" t="s">
        <v>47</v>
      </c>
      <c r="B539" s="5">
        <v>2020</v>
      </c>
      <c r="C539" s="12">
        <v>5.0628128605878056</v>
      </c>
      <c r="D539" s="4">
        <v>1.0742229642056231</v>
      </c>
      <c r="E539" s="6">
        <v>4.773246948499137E-3</v>
      </c>
      <c r="F539" s="11">
        <v>1.0988</v>
      </c>
      <c r="G539" s="8">
        <v>2.8849756463094791</v>
      </c>
      <c r="H539" s="7">
        <v>-97.08291257578891</v>
      </c>
      <c r="I539" s="4">
        <v>36.270050040000001</v>
      </c>
      <c r="J539" s="11">
        <v>2.9599000000000002</v>
      </c>
      <c r="K539" s="11">
        <v>62.963500000000003</v>
      </c>
      <c r="L539" s="7">
        <v>1</v>
      </c>
      <c r="M539" s="8">
        <v>47.208399999999997</v>
      </c>
      <c r="N539" s="8">
        <v>9.2178137664665378</v>
      </c>
      <c r="O539" s="8">
        <v>1.07395772865347E-3</v>
      </c>
      <c r="P539" s="8">
        <v>0.7888056041294641</v>
      </c>
      <c r="Q539" s="8">
        <v>1.6867528397920429E-2</v>
      </c>
      <c r="R539" s="3">
        <v>3.4011612875541514E-4</v>
      </c>
      <c r="S539" s="33">
        <v>-1.3521754698139338E-2</v>
      </c>
      <c r="T539" s="5">
        <v>45.4</v>
      </c>
      <c r="U539" s="34">
        <v>0.19133301666666666</v>
      </c>
      <c r="V539">
        <v>106.77458226243699</v>
      </c>
    </row>
    <row r="540" spans="1:22" ht="16" x14ac:dyDescent="0.2">
      <c r="A540" s="2" t="s">
        <v>47</v>
      </c>
      <c r="B540" s="5">
        <v>2021</v>
      </c>
      <c r="C540" s="12">
        <v>4.8872116906795764</v>
      </c>
      <c r="D540" s="4">
        <v>-4.5852534047770375</v>
      </c>
      <c r="E540" s="6">
        <v>5.9309896535008663E-2</v>
      </c>
      <c r="F540" s="11">
        <v>1.0536000000000001</v>
      </c>
      <c r="G540" s="8">
        <v>0</v>
      </c>
      <c r="H540" s="7">
        <v>-100</v>
      </c>
      <c r="I540" s="4">
        <v>41.12829224</v>
      </c>
      <c r="J540" s="11">
        <v>3.1818</v>
      </c>
      <c r="K540" s="11">
        <v>64.777500000000003</v>
      </c>
      <c r="L540" s="7">
        <v>1</v>
      </c>
      <c r="M540" s="8">
        <v>44.994399999999999</v>
      </c>
      <c r="N540" s="8">
        <v>9.2894504725992295</v>
      </c>
      <c r="O540" s="8">
        <v>3.6171363882283943E-3</v>
      </c>
      <c r="P540" s="8">
        <v>0.78896868911849838</v>
      </c>
      <c r="Q540" s="8">
        <v>1.5122884591189262E-2</v>
      </c>
      <c r="R540" s="3">
        <v>3.1055330505242752E-4</v>
      </c>
      <c r="S540" s="33">
        <v>-8.566975901496245E-3</v>
      </c>
      <c r="T540" s="5">
        <v>45.6</v>
      </c>
      <c r="U540" s="34">
        <v>8.6284741666666664E-2</v>
      </c>
      <c r="V540">
        <v>109.754323839417</v>
      </c>
    </row>
    <row r="541" spans="1:22" ht="16" x14ac:dyDescent="0.2">
      <c r="A541" s="2" t="s">
        <v>47</v>
      </c>
      <c r="B541" s="5">
        <v>2022</v>
      </c>
      <c r="C541" s="12">
        <v>3.8099857734271736</v>
      </c>
      <c r="D541" s="4">
        <v>0.43435688749948059</v>
      </c>
      <c r="E541" s="6">
        <v>9.584115566471112E-3</v>
      </c>
      <c r="F541" s="11">
        <v>1.0314000000000001</v>
      </c>
      <c r="G541" s="8">
        <v>0</v>
      </c>
      <c r="H541" s="7">
        <v>0</v>
      </c>
      <c r="I541" s="4">
        <v>34.878266369999999</v>
      </c>
      <c r="J541" s="11">
        <v>3.157</v>
      </c>
      <c r="K541" s="11">
        <v>71.399199999999993</v>
      </c>
      <c r="L541" s="7">
        <v>1</v>
      </c>
      <c r="M541" s="8">
        <v>43.805900000000001</v>
      </c>
      <c r="N541" s="8">
        <v>9.2152828875979491</v>
      </c>
      <c r="O541" s="8">
        <v>1.7964069261818476E-2</v>
      </c>
      <c r="P541" s="8">
        <v>0.70479990786562818</v>
      </c>
      <c r="Q541" s="8">
        <v>2.126915537335965E-2</v>
      </c>
      <c r="R541" s="3">
        <v>3.5483069538384972E-4</v>
      </c>
      <c r="S541" s="33">
        <v>-0.15470779172132842</v>
      </c>
      <c r="T541" s="5">
        <v>46.3</v>
      </c>
      <c r="U541" s="34">
        <v>0.19251043333333331</v>
      </c>
      <c r="V541">
        <v>131.49814044376399</v>
      </c>
    </row>
    <row r="542" spans="1:22" x14ac:dyDescent="0.2">
      <c r="U542" s="34"/>
    </row>
    <row r="543" spans="1:22" ht="16" x14ac:dyDescent="0.2">
      <c r="A543" s="2" t="s">
        <v>48</v>
      </c>
      <c r="B543" s="5">
        <v>2014</v>
      </c>
      <c r="C543" s="12">
        <v>3.4135137585843704</v>
      </c>
      <c r="D543" s="4">
        <v>0.58147928707026919</v>
      </c>
      <c r="E543" s="6">
        <v>9.7329674319812046E-3</v>
      </c>
      <c r="F543" s="11">
        <v>0.99709999999999999</v>
      </c>
      <c r="G543" s="8">
        <v>602177</v>
      </c>
      <c r="H543" s="7">
        <v>-16.666043921523041</v>
      </c>
      <c r="I543" s="4">
        <v>627425.76405560004</v>
      </c>
      <c r="J543" s="11">
        <v>1.1526000000000001</v>
      </c>
      <c r="K543" s="11">
        <v>59.954799999999999</v>
      </c>
      <c r="L543" s="7">
        <v>1</v>
      </c>
      <c r="M543" s="8">
        <v>156.57839999999999</v>
      </c>
      <c r="N543" s="8">
        <v>12.980510361057098</v>
      </c>
      <c r="O543" s="8">
        <v>9.5685340746238159E-3</v>
      </c>
      <c r="P543" s="8">
        <v>0.14142572266467643</v>
      </c>
      <c r="Q543" s="8">
        <v>0.13715426918714221</v>
      </c>
      <c r="R543" s="3">
        <v>7.1027692685663316E-3</v>
      </c>
      <c r="S543" s="33">
        <v>-6.0497682581134235E-2</v>
      </c>
      <c r="T543" s="5">
        <v>43</v>
      </c>
      <c r="U543" s="34">
        <v>0.10612881666666664</v>
      </c>
      <c r="V543">
        <v>105.944781034025</v>
      </c>
    </row>
    <row r="544" spans="1:22" ht="16" x14ac:dyDescent="0.2">
      <c r="A544" s="2" t="s">
        <v>48</v>
      </c>
      <c r="B544" s="5">
        <v>2015</v>
      </c>
      <c r="C544" s="12">
        <v>3.1826326038853012</v>
      </c>
      <c r="D544" s="4">
        <v>-0.21637422996151007</v>
      </c>
      <c r="E544" s="6">
        <v>1.8669396515094489E-2</v>
      </c>
      <c r="F544" s="11">
        <v>0.99509999999999998</v>
      </c>
      <c r="G544" s="8">
        <v>388938</v>
      </c>
      <c r="H544" s="7">
        <v>-35.411349154816605</v>
      </c>
      <c r="I544" s="4">
        <v>483537.08561850007</v>
      </c>
      <c r="J544" s="11">
        <v>1.1825000000000001</v>
      </c>
      <c r="K544" s="11">
        <v>58.766399999999997</v>
      </c>
      <c r="L544" s="7">
        <v>1</v>
      </c>
      <c r="M544" s="8">
        <v>156.37459999999999</v>
      </c>
      <c r="N544" s="8">
        <v>12.869747763434088</v>
      </c>
      <c r="O544" s="8">
        <v>7.5976168901448222E-3</v>
      </c>
      <c r="P544" s="8">
        <v>0.2024263658594031</v>
      </c>
      <c r="Q544" s="8">
        <v>0.12199423438538994</v>
      </c>
      <c r="R544" s="3">
        <v>7.1016322694560713E-3</v>
      </c>
      <c r="S544" s="33">
        <v>-9.2314533358446485E-2</v>
      </c>
      <c r="T544" s="5">
        <v>44.8</v>
      </c>
      <c r="U544" s="34">
        <v>0.16251885833333332</v>
      </c>
      <c r="V544">
        <v>121.044025684011</v>
      </c>
    </row>
    <row r="545" spans="1:22" ht="16" x14ac:dyDescent="0.2">
      <c r="A545" s="2" t="s">
        <v>48</v>
      </c>
      <c r="B545" s="5">
        <v>2016</v>
      </c>
      <c r="C545" s="12">
        <v>2.6339497518757247</v>
      </c>
      <c r="D545" s="4">
        <v>1.482419252024616</v>
      </c>
      <c r="E545" s="6">
        <v>1.0606488423719756E-2</v>
      </c>
      <c r="F545" s="11">
        <v>0.98560000000000003</v>
      </c>
      <c r="G545" s="8">
        <v>434992</v>
      </c>
      <c r="H545" s="7">
        <v>11.840961798538585</v>
      </c>
      <c r="I545" s="4">
        <v>500565.62166786002</v>
      </c>
      <c r="J545" s="11">
        <v>0.93210000000000004</v>
      </c>
      <c r="K545" s="11">
        <v>61.719700000000003</v>
      </c>
      <c r="L545" s="7">
        <v>1</v>
      </c>
      <c r="M545" s="8">
        <v>137.3888</v>
      </c>
      <c r="N545" s="8">
        <v>12.986954617227626</v>
      </c>
      <c r="O545" s="8">
        <v>7.2864442100973488E-3</v>
      </c>
      <c r="P545" s="8">
        <v>0.27130199862209126</v>
      </c>
      <c r="Q545" s="8">
        <v>0.16764134132821351</v>
      </c>
      <c r="R545" s="3">
        <v>7.0082161648861163E-3</v>
      </c>
      <c r="S545" s="33">
        <v>0.12570431786897612</v>
      </c>
      <c r="T545" s="5">
        <v>44.6</v>
      </c>
      <c r="U545" s="34">
        <v>0.17348815833333334</v>
      </c>
      <c r="V545">
        <v>108.79290004683401</v>
      </c>
    </row>
    <row r="546" spans="1:22" ht="16" x14ac:dyDescent="0.2">
      <c r="A546" s="2" t="s">
        <v>48</v>
      </c>
      <c r="B546" s="5">
        <v>2017</v>
      </c>
      <c r="C546" s="12">
        <v>2.3199085298477091</v>
      </c>
      <c r="D546" s="4">
        <v>-0.10413729640242612</v>
      </c>
      <c r="E546" s="6">
        <v>1.594353204407388E-2</v>
      </c>
      <c r="F546" s="11">
        <v>0.9909</v>
      </c>
      <c r="G546" s="8">
        <v>377793</v>
      </c>
      <c r="H546" s="7">
        <v>-13.149437231029538</v>
      </c>
      <c r="I546" s="4">
        <v>460357.20640125003</v>
      </c>
      <c r="J546" s="11">
        <v>0.88959999999999995</v>
      </c>
      <c r="K546" s="11">
        <v>67.949799999999996</v>
      </c>
      <c r="L546" s="7">
        <v>1</v>
      </c>
      <c r="M546" s="8">
        <v>129.54140000000001</v>
      </c>
      <c r="N546" s="8">
        <v>12.983850370834055</v>
      </c>
      <c r="O546" s="8">
        <v>5.9573543307765171E-3</v>
      </c>
      <c r="P546" s="8">
        <v>0.25573939836924059</v>
      </c>
      <c r="Q546" s="8">
        <v>0.12558610623664618</v>
      </c>
      <c r="R546" s="3">
        <v>6.7919128284710233E-3</v>
      </c>
      <c r="S546" s="33">
        <v>-1.4557344380430779E-2</v>
      </c>
      <c r="T546" s="5">
        <v>44</v>
      </c>
      <c r="U546" s="34">
        <v>6.9751091666666667E-2</v>
      </c>
      <c r="V546">
        <v>112.166141081871</v>
      </c>
    </row>
    <row r="547" spans="1:22" ht="16" x14ac:dyDescent="0.2">
      <c r="A547" s="2" t="s">
        <v>48</v>
      </c>
      <c r="B547" s="5">
        <v>2018</v>
      </c>
      <c r="C547" s="12">
        <v>3.2535476455052827</v>
      </c>
      <c r="D547" s="4">
        <v>0.21626485911211291</v>
      </c>
      <c r="E547" s="6">
        <v>1.3206819320112894E-2</v>
      </c>
      <c r="F547" s="11">
        <v>0.98440000000000005</v>
      </c>
      <c r="G547" s="8">
        <v>329846</v>
      </c>
      <c r="H547" s="7">
        <v>-12.691341554766764</v>
      </c>
      <c r="I547" s="4">
        <v>426897.19044375001</v>
      </c>
      <c r="J547" s="11">
        <v>0.86240000000000006</v>
      </c>
      <c r="K547" s="11">
        <v>68.232200000000006</v>
      </c>
      <c r="L547" s="7">
        <v>1</v>
      </c>
      <c r="M547" s="8">
        <v>94.401300000000006</v>
      </c>
      <c r="N547" s="8">
        <v>13.066885080201184</v>
      </c>
      <c r="O547" s="8">
        <v>4.8302291456945676E-3</v>
      </c>
      <c r="P547" s="8">
        <v>0.26362517725407453</v>
      </c>
      <c r="Q547" s="8">
        <v>0.14431605233215808</v>
      </c>
      <c r="R547" s="3">
        <v>6.6009056487055535E-3</v>
      </c>
      <c r="S547" s="33">
        <v>2.2317420335519114E-2</v>
      </c>
      <c r="T547" s="5">
        <v>45.2</v>
      </c>
      <c r="U547" s="34">
        <v>9.823383333333334E-2</v>
      </c>
      <c r="V547">
        <v>110.42317934106001</v>
      </c>
    </row>
    <row r="548" spans="1:22" ht="16" x14ac:dyDescent="0.2">
      <c r="A548" s="2" t="s">
        <v>48</v>
      </c>
      <c r="B548" s="5">
        <v>2019</v>
      </c>
      <c r="C548" s="12">
        <v>2.2516864633792366</v>
      </c>
      <c r="D548" s="4">
        <v>0.47050631745223687</v>
      </c>
      <c r="E548" s="6">
        <v>7.8065526307914239E-3</v>
      </c>
      <c r="F548" s="11">
        <v>0.98309999999999997</v>
      </c>
      <c r="G548" s="8">
        <v>315404</v>
      </c>
      <c r="H548" s="7">
        <v>-4.3784068929136621</v>
      </c>
      <c r="I548" s="4">
        <v>479198.76638839999</v>
      </c>
      <c r="J548" s="11">
        <v>0.84850000000000003</v>
      </c>
      <c r="K548" s="11">
        <v>72.286199999999994</v>
      </c>
      <c r="L548" s="7">
        <v>1</v>
      </c>
      <c r="M548" s="8">
        <v>87.359300000000005</v>
      </c>
      <c r="N548" s="8">
        <v>13.187455962145309</v>
      </c>
      <c r="O548" s="8">
        <v>4.3601981037807705E-3</v>
      </c>
      <c r="P548" s="8">
        <v>0.2482755264515222</v>
      </c>
      <c r="Q548" s="8">
        <v>0.23624157452955083</v>
      </c>
      <c r="R548" s="3">
        <v>6.9306770432806192E-3</v>
      </c>
      <c r="S548" s="33">
        <v>1.5297507443604967E-2</v>
      </c>
      <c r="T548" s="5">
        <v>45.2</v>
      </c>
      <c r="U548" s="34">
        <v>0.16861495833333337</v>
      </c>
      <c r="V548">
        <v>109.009665900863</v>
      </c>
    </row>
    <row r="549" spans="1:22" ht="16" x14ac:dyDescent="0.2">
      <c r="A549" s="2" t="s">
        <v>48</v>
      </c>
      <c r="B549" s="5">
        <v>2020</v>
      </c>
      <c r="C549" s="12">
        <v>1.8318087067213153</v>
      </c>
      <c r="D549" s="4">
        <v>0.69015242332726556</v>
      </c>
      <c r="E549" s="6">
        <v>1.5001094981104992E-2</v>
      </c>
      <c r="F549" s="11">
        <v>0.97799999999999998</v>
      </c>
      <c r="G549" s="8">
        <v>271752</v>
      </c>
      <c r="H549" s="7">
        <v>-13.840027393438255</v>
      </c>
      <c r="I549" s="4">
        <v>488737.16095329996</v>
      </c>
      <c r="J549" s="11">
        <v>0.83660000000000001</v>
      </c>
      <c r="K549" s="11">
        <v>68.596299999999999</v>
      </c>
      <c r="L549" s="7">
        <v>1</v>
      </c>
      <c r="M549" s="8">
        <v>82.248199999999997</v>
      </c>
      <c r="N549" s="8">
        <v>13.238267640561308</v>
      </c>
      <c r="O549" s="8">
        <v>4.3593976706593303E-3</v>
      </c>
      <c r="P549" s="8">
        <v>0.24934446617953079</v>
      </c>
      <c r="Q549" s="8">
        <v>0.2198744472928319</v>
      </c>
      <c r="R549" s="3">
        <v>6.8247149294948274E-3</v>
      </c>
      <c r="S549" s="33">
        <v>-1.3521754698139338E-2</v>
      </c>
      <c r="T549" s="5">
        <v>45.4</v>
      </c>
      <c r="U549" s="34">
        <v>0.19133301666666666</v>
      </c>
      <c r="V549">
        <v>106.77458226243699</v>
      </c>
    </row>
    <row r="550" spans="1:22" ht="16" x14ac:dyDescent="0.2">
      <c r="A550" s="2" t="s">
        <v>48</v>
      </c>
      <c r="B550" s="5">
        <v>2021</v>
      </c>
      <c r="C550" s="12">
        <v>1.3730900516260984</v>
      </c>
      <c r="D550" s="4">
        <v>-4.2621397155028529</v>
      </c>
      <c r="E550" s="6">
        <v>5.8424503688049627E-2</v>
      </c>
      <c r="F550" s="11">
        <v>0.98299999999999998</v>
      </c>
      <c r="G550" s="8">
        <v>190463</v>
      </c>
      <c r="H550" s="7">
        <v>-29.912935323383081</v>
      </c>
      <c r="I550" s="4">
        <v>496981.29467528005</v>
      </c>
      <c r="J550" s="11">
        <v>0.72419999999999995</v>
      </c>
      <c r="K550" s="11">
        <v>68.0184</v>
      </c>
      <c r="L550" s="7">
        <v>1</v>
      </c>
      <c r="M550" s="8">
        <v>370.75400000000002</v>
      </c>
      <c r="N550" s="8">
        <v>13.409471403923266</v>
      </c>
      <c r="O550" s="8">
        <v>4.8592994934941909E-3</v>
      </c>
      <c r="P550" s="8">
        <v>0.34057845157048139</v>
      </c>
      <c r="Q550" s="8">
        <v>9.5432103014584407E-2</v>
      </c>
      <c r="R550" s="3">
        <v>6.5822196665380152E-3</v>
      </c>
      <c r="S550" s="33">
        <v>-8.566975901496245E-3</v>
      </c>
      <c r="T550" s="5">
        <v>45.6</v>
      </c>
      <c r="U550" s="34">
        <v>8.6284741666666664E-2</v>
      </c>
      <c r="V550">
        <v>109.754323839417</v>
      </c>
    </row>
    <row r="551" spans="1:22" ht="16" x14ac:dyDescent="0.2">
      <c r="A551" s="2" t="s">
        <v>48</v>
      </c>
      <c r="B551" s="5">
        <v>2022</v>
      </c>
      <c r="C551" s="4">
        <v>1.1016736135436169</v>
      </c>
      <c r="D551" s="4">
        <v>6.4158383925383339E-2</v>
      </c>
      <c r="E551" s="13">
        <v>1.920127230488175E-2</v>
      </c>
      <c r="F551" s="4">
        <v>0.98470000000000002</v>
      </c>
      <c r="G551" s="4">
        <v>161495</v>
      </c>
      <c r="H551" s="7">
        <v>-15.209253240786925</v>
      </c>
      <c r="I551" s="4">
        <v>495462.51127549249</v>
      </c>
      <c r="J551" s="4">
        <v>0.66290000000000004</v>
      </c>
      <c r="K551" s="4">
        <v>69.994600000000005</v>
      </c>
      <c r="L551" s="7">
        <v>1</v>
      </c>
      <c r="M551" s="4">
        <v>469.70870000000002</v>
      </c>
      <c r="N551" s="4">
        <v>13.373797532651009</v>
      </c>
      <c r="O551" s="4">
        <v>5.8778707523122033E-3</v>
      </c>
      <c r="P551" s="7">
        <v>0.35475174632932699</v>
      </c>
      <c r="Q551" s="4">
        <v>7.8939877675473322E-2</v>
      </c>
      <c r="R551" s="3">
        <v>6.4231467466784502E-3</v>
      </c>
      <c r="S551" s="33">
        <v>-0.15470779172132842</v>
      </c>
      <c r="T551" s="5">
        <v>46.3</v>
      </c>
      <c r="U551" s="34">
        <v>0.19251043333333331</v>
      </c>
      <c r="V551">
        <v>131.49814044376399</v>
      </c>
    </row>
    <row r="552" spans="1:22" x14ac:dyDescent="0.2">
      <c r="U552" s="34"/>
    </row>
    <row r="553" spans="1:22" ht="16" x14ac:dyDescent="0.2">
      <c r="A553" s="2" t="s">
        <v>49</v>
      </c>
      <c r="B553" s="5">
        <v>2014</v>
      </c>
      <c r="C553" s="12">
        <v>5.241041408158912E-2</v>
      </c>
      <c r="D553" s="7">
        <v>2.1697569535061438</v>
      </c>
      <c r="E553" s="13">
        <v>-4.1041522243768398E-3</v>
      </c>
      <c r="F553" s="11">
        <v>0.99570000000000003</v>
      </c>
      <c r="G553" s="8">
        <v>2337717</v>
      </c>
      <c r="H553" s="7">
        <v>7.2343312501605501</v>
      </c>
      <c r="I553" s="4">
        <v>234096.26359680001</v>
      </c>
      <c r="J553" s="11">
        <v>0.72560000000000002</v>
      </c>
      <c r="K553" s="11">
        <v>63.669499999999999</v>
      </c>
      <c r="L553" s="7">
        <v>1</v>
      </c>
      <c r="M553" s="8">
        <v>228.69839999999999</v>
      </c>
      <c r="N553" s="8">
        <v>12.915135310923651</v>
      </c>
      <c r="O553" s="8">
        <v>4.626963953310255E-3</v>
      </c>
      <c r="P553" s="8">
        <v>0.36611555442894</v>
      </c>
      <c r="Q553" s="8">
        <v>0.50058715707996637</v>
      </c>
      <c r="R553" s="3">
        <v>8.1564946569008933E-3</v>
      </c>
      <c r="S553" s="33">
        <v>-6.0497682581134235E-2</v>
      </c>
      <c r="T553" s="5">
        <v>43</v>
      </c>
      <c r="U553" s="34">
        <v>0.10612881666666664</v>
      </c>
      <c r="V553">
        <v>105.944781034025</v>
      </c>
    </row>
    <row r="554" spans="1:22" ht="16" x14ac:dyDescent="0.2">
      <c r="A554" s="2" t="s">
        <v>49</v>
      </c>
      <c r="B554" s="5">
        <v>2015</v>
      </c>
      <c r="C554" s="12">
        <v>5.4613521418520626E-2</v>
      </c>
      <c r="D554" s="7">
        <v>2.3312837866332607</v>
      </c>
      <c r="E554" s="13">
        <v>-5.6036251637939767E-3</v>
      </c>
      <c r="F554" s="11">
        <v>0.98970000000000002</v>
      </c>
      <c r="G554" s="8">
        <v>1889038</v>
      </c>
      <c r="H554" s="7">
        <v>-19.193041758262442</v>
      </c>
      <c r="I554" s="4">
        <v>156458.28844205997</v>
      </c>
      <c r="J554" s="11">
        <v>0.75309999999999999</v>
      </c>
      <c r="K554" s="11">
        <v>61.733600000000003</v>
      </c>
      <c r="L554" s="7">
        <v>1</v>
      </c>
      <c r="M554" s="8">
        <v>215.93020000000001</v>
      </c>
      <c r="N554" s="8">
        <v>12.862193181048083</v>
      </c>
      <c r="O554" s="8">
        <v>3.5213285009175173E-3</v>
      </c>
      <c r="P554" s="8">
        <v>0.33719813772576873</v>
      </c>
      <c r="Q554" s="8">
        <v>0.43195616014751909</v>
      </c>
      <c r="R554" s="3">
        <v>8.0766454125402384E-3</v>
      </c>
      <c r="S554" s="33">
        <v>-9.2314533358446485E-2</v>
      </c>
      <c r="T554" s="5">
        <v>44.8</v>
      </c>
      <c r="U554" s="34">
        <v>0.16251885833333332</v>
      </c>
      <c r="V554">
        <v>121.044025684011</v>
      </c>
    </row>
    <row r="555" spans="1:22" ht="16" x14ac:dyDescent="0.2">
      <c r="A555" s="2" t="s">
        <v>49</v>
      </c>
      <c r="B555" s="5">
        <v>2016</v>
      </c>
      <c r="C555" s="12">
        <v>4.7453253653080625E-2</v>
      </c>
      <c r="D555" s="7">
        <v>1.4237162004254114</v>
      </c>
      <c r="E555" s="13">
        <v>1.2769400945215391E-2</v>
      </c>
      <c r="F555" s="11">
        <v>0.98089999999999999</v>
      </c>
      <c r="G555" s="8">
        <v>2289895</v>
      </c>
      <c r="H555" s="7">
        <v>21.220166031599152</v>
      </c>
      <c r="I555" s="4">
        <v>98602.711950900004</v>
      </c>
      <c r="J555" s="11">
        <v>0.55210000000000004</v>
      </c>
      <c r="K555" s="11">
        <v>60.8322</v>
      </c>
      <c r="L555" s="7">
        <v>1</v>
      </c>
      <c r="M555" s="8">
        <v>224.20859999999999</v>
      </c>
      <c r="N555" s="8">
        <v>13.156957129200887</v>
      </c>
      <c r="O555" s="8">
        <v>3.298504688499718E-3</v>
      </c>
      <c r="P555" s="8">
        <v>0.27967008623086759</v>
      </c>
      <c r="Q555" s="8">
        <v>0.50753241493725243</v>
      </c>
      <c r="R555" s="3">
        <v>8.1409922334929469E-3</v>
      </c>
      <c r="S555" s="33">
        <v>0.12570431786897612</v>
      </c>
      <c r="T555" s="5">
        <v>44.6</v>
      </c>
      <c r="U555" s="34">
        <v>0.17348815833333334</v>
      </c>
      <c r="V555">
        <v>108.79290004683401</v>
      </c>
    </row>
    <row r="556" spans="1:22" ht="16" x14ac:dyDescent="0.2">
      <c r="A556" s="2" t="s">
        <v>49</v>
      </c>
      <c r="B556" s="5">
        <v>2017</v>
      </c>
      <c r="C556" s="12">
        <v>3.0998503951558121E-2</v>
      </c>
      <c r="D556" s="7">
        <v>0.99635061855608298</v>
      </c>
      <c r="E556" s="13">
        <v>1.8914302014228924E-3</v>
      </c>
      <c r="F556" s="11">
        <v>0.9849</v>
      </c>
      <c r="G556" s="8">
        <v>2518459</v>
      </c>
      <c r="H556" s="7">
        <v>9.9814183619772958</v>
      </c>
      <c r="I556" s="4">
        <v>81971.514374240011</v>
      </c>
      <c r="J556" s="11">
        <v>0.48959999999999998</v>
      </c>
      <c r="K556" s="11">
        <v>67.747100000000003</v>
      </c>
      <c r="L556" s="7">
        <v>1</v>
      </c>
      <c r="M556" s="8">
        <v>260.05500000000001</v>
      </c>
      <c r="N556" s="8">
        <v>13.284534860869721</v>
      </c>
      <c r="O556" s="8">
        <v>4.1278650604461868E-3</v>
      </c>
      <c r="P556" s="8">
        <v>0.23857779603108412</v>
      </c>
      <c r="Q556" s="8">
        <v>0.84154245769291236</v>
      </c>
      <c r="R556" s="3">
        <v>6.4754916521300599E-3</v>
      </c>
      <c r="S556" s="33">
        <v>-1.4557344380430779E-2</v>
      </c>
      <c r="T556" s="5">
        <v>44</v>
      </c>
      <c r="U556" s="34">
        <v>6.9751091666666667E-2</v>
      </c>
      <c r="V556">
        <v>112.166141081871</v>
      </c>
    </row>
    <row r="557" spans="1:22" ht="16" x14ac:dyDescent="0.2">
      <c r="A557" s="2" t="s">
        <v>49</v>
      </c>
      <c r="B557" s="5">
        <v>2018</v>
      </c>
      <c r="C557" s="12">
        <v>3.5299547032468397E-2</v>
      </c>
      <c r="D557" s="7">
        <v>0.37405403427631134</v>
      </c>
      <c r="E557" s="13">
        <v>8.8426613761903132E-3</v>
      </c>
      <c r="F557" s="11">
        <v>0.98560000000000003</v>
      </c>
      <c r="G557" s="8">
        <v>2874058</v>
      </c>
      <c r="H557" s="7">
        <v>14.11970574069302</v>
      </c>
      <c r="I557" s="4">
        <v>73041.767776699999</v>
      </c>
      <c r="J557" s="11">
        <v>0.37580000000000002</v>
      </c>
      <c r="K557" s="11">
        <v>68.161100000000005</v>
      </c>
      <c r="L557" s="7">
        <v>1</v>
      </c>
      <c r="M557" s="8">
        <v>307.22289999999998</v>
      </c>
      <c r="N557" s="8">
        <v>13.374739159893984</v>
      </c>
      <c r="O557" s="8">
        <v>3.6475619942062001E-3</v>
      </c>
      <c r="P557" s="8">
        <v>0.22157517004185573</v>
      </c>
      <c r="Q557" s="8">
        <v>1.0575975542142988</v>
      </c>
      <c r="R557" s="3">
        <v>6.4251431652309317E-3</v>
      </c>
      <c r="S557" s="33">
        <v>2.2317420335519114E-2</v>
      </c>
      <c r="T557" s="5">
        <v>45.2</v>
      </c>
      <c r="U557" s="34">
        <v>9.823383333333334E-2</v>
      </c>
      <c r="V557">
        <v>110.42317934106001</v>
      </c>
    </row>
    <row r="558" spans="1:22" ht="16" x14ac:dyDescent="0.2">
      <c r="A558" s="2" t="s">
        <v>49</v>
      </c>
      <c r="B558" s="5">
        <v>2019</v>
      </c>
      <c r="C558" s="12">
        <v>4.2179601819229813E-2</v>
      </c>
      <c r="D558" s="7">
        <v>0.31381404266238316</v>
      </c>
      <c r="E558" s="13">
        <v>7.6442450170135711E-3</v>
      </c>
      <c r="F558" s="11">
        <v>0.9798</v>
      </c>
      <c r="G558" s="8">
        <v>2651331</v>
      </c>
      <c r="H558" s="7">
        <v>-7.7495652488571904</v>
      </c>
      <c r="I558" s="4">
        <v>90921.20028142001</v>
      </c>
      <c r="J558" s="11">
        <v>0.26550000000000001</v>
      </c>
      <c r="K558" s="11">
        <v>64.556200000000004</v>
      </c>
      <c r="L558" s="7">
        <v>1</v>
      </c>
      <c r="M558" s="8">
        <v>326.8596</v>
      </c>
      <c r="N558" s="8">
        <v>13.151616470203056</v>
      </c>
      <c r="O558" s="8">
        <v>3.4329276795404071E-3</v>
      </c>
      <c r="P558" s="8">
        <v>0.28034233361809158</v>
      </c>
      <c r="Q558" s="8">
        <v>1.4501531074930256</v>
      </c>
      <c r="R558" s="3">
        <v>7.6016168299591251E-3</v>
      </c>
      <c r="S558" s="33">
        <v>1.5297507443604967E-2</v>
      </c>
      <c r="T558" s="5">
        <v>45.2</v>
      </c>
      <c r="U558" s="34">
        <v>0.16861495833333337</v>
      </c>
      <c r="V558">
        <v>109.009665900863</v>
      </c>
    </row>
    <row r="559" spans="1:22" ht="16" x14ac:dyDescent="0.2">
      <c r="A559" s="2" t="s">
        <v>49</v>
      </c>
      <c r="B559" s="5">
        <v>2020</v>
      </c>
      <c r="C559" s="4">
        <v>4.3188430181148797E-2</v>
      </c>
      <c r="D559" s="7">
        <v>1.0713072956209087</v>
      </c>
      <c r="E559" s="13">
        <v>1.0714831598003936E-2</v>
      </c>
      <c r="F559" s="11">
        <v>0.97550000000000003</v>
      </c>
      <c r="G559" s="4">
        <v>2093297</v>
      </c>
      <c r="H559" s="7">
        <v>-21.047315480413424</v>
      </c>
      <c r="I559" s="4">
        <v>93154.092508670001</v>
      </c>
      <c r="J559" s="11">
        <v>0.25130000000000002</v>
      </c>
      <c r="K559" s="11">
        <v>60.836500000000001</v>
      </c>
      <c r="L559" s="7">
        <v>1</v>
      </c>
      <c r="M559" s="8">
        <v>415.92079999999999</v>
      </c>
      <c r="N559" s="8">
        <v>13.169668853493469</v>
      </c>
      <c r="O559" s="8">
        <v>4.2771888613428776E-3</v>
      </c>
      <c r="P559" s="8">
        <v>0.28112949226626094</v>
      </c>
      <c r="Q559" s="8">
        <v>1.4045043851149828</v>
      </c>
      <c r="R559" s="3">
        <v>8.1370686846142012E-3</v>
      </c>
      <c r="S559" s="33">
        <v>-1.3521754698139338E-2</v>
      </c>
      <c r="T559" s="5">
        <v>45.4</v>
      </c>
      <c r="U559" s="34">
        <v>0.19133301666666666</v>
      </c>
      <c r="V559">
        <v>106.77458226243699</v>
      </c>
    </row>
    <row r="560" spans="1:22" ht="16" x14ac:dyDescent="0.2">
      <c r="A560" s="2" t="s">
        <v>49</v>
      </c>
      <c r="B560" s="5">
        <v>2021</v>
      </c>
      <c r="C560" s="4">
        <v>3.6761848969892492E-2</v>
      </c>
      <c r="D560" s="7">
        <v>-3.7514122602237547</v>
      </c>
      <c r="E560" s="13">
        <v>5.2676627832405759E-2</v>
      </c>
      <c r="F560" s="4">
        <v>0.97989999999999999</v>
      </c>
      <c r="G560" s="4">
        <v>1906004</v>
      </c>
      <c r="H560" s="7">
        <v>-8.9472731294221504</v>
      </c>
      <c r="I560" s="4">
        <v>116392.17720440999</v>
      </c>
      <c r="J560" s="4">
        <v>0.41110000000000002</v>
      </c>
      <c r="K560" s="4">
        <v>71.751800000000003</v>
      </c>
      <c r="L560" s="7">
        <v>1</v>
      </c>
      <c r="M560" s="4">
        <v>436.97129999999999</v>
      </c>
      <c r="N560" s="4">
        <v>13.239274116453958</v>
      </c>
      <c r="O560" s="4">
        <v>4.2323285966211323E-3</v>
      </c>
      <c r="P560" s="7">
        <v>0.25487384311929501</v>
      </c>
      <c r="Q560" s="4">
        <v>0.75053505404135534</v>
      </c>
      <c r="R560" s="3">
        <v>7.5150561569885888E-3</v>
      </c>
      <c r="S560" s="33">
        <v>-8.566975901496245E-3</v>
      </c>
      <c r="T560" s="5">
        <v>45.6</v>
      </c>
      <c r="U560" s="34">
        <v>8.6284741666666664E-2</v>
      </c>
      <c r="V560">
        <v>109.754323839417</v>
      </c>
    </row>
    <row r="561" spans="1:22" ht="16" x14ac:dyDescent="0.2">
      <c r="A561" s="2" t="s">
        <v>49</v>
      </c>
      <c r="B561" s="5">
        <v>2022</v>
      </c>
      <c r="C561" s="4">
        <v>4.0091651227236159E-2</v>
      </c>
      <c r="D561" s="7">
        <v>1.5320046598737598</v>
      </c>
      <c r="E561" s="13">
        <v>1.9489746627983572E-3</v>
      </c>
      <c r="F561" s="4">
        <v>0.98119999999999996</v>
      </c>
      <c r="G561" s="4">
        <v>1817636</v>
      </c>
      <c r="H561" s="7">
        <v>-4.6362966709408795</v>
      </c>
      <c r="I561" s="4">
        <v>106339.6183</v>
      </c>
      <c r="J561" s="4">
        <v>0.6633</v>
      </c>
      <c r="K561" s="4">
        <v>63.866</v>
      </c>
      <c r="L561" s="7">
        <v>1</v>
      </c>
      <c r="M561" s="4">
        <v>539.93619999999999</v>
      </c>
      <c r="N561" s="4">
        <v>13.183831110055857</v>
      </c>
      <c r="O561" s="4">
        <v>5.2859962708322666E-3</v>
      </c>
      <c r="P561" s="7">
        <v>0.22502907275737377</v>
      </c>
      <c r="Q561" s="4">
        <v>0.46963974005279285</v>
      </c>
      <c r="R561" s="3">
        <v>7.7617901185408449E-3</v>
      </c>
      <c r="S561" s="33">
        <v>-0.15470779172132842</v>
      </c>
      <c r="T561" s="5">
        <v>46.3</v>
      </c>
      <c r="U561" s="34">
        <v>0.19251043333333331</v>
      </c>
      <c r="V561">
        <v>131.49814044376399</v>
      </c>
    </row>
    <row r="562" spans="1:22" x14ac:dyDescent="0.2">
      <c r="U562" s="34"/>
    </row>
    <row r="563" spans="1:22" ht="16" x14ac:dyDescent="0.2">
      <c r="A563" s="2" t="s">
        <v>51</v>
      </c>
      <c r="B563" s="5">
        <v>2014</v>
      </c>
      <c r="C563" s="12">
        <v>5.8472417504466172</v>
      </c>
      <c r="D563" s="4">
        <v>0.60436281721437701</v>
      </c>
      <c r="E563" s="6">
        <v>9.6380923242649456E-3</v>
      </c>
      <c r="F563" s="11">
        <v>0.98329999999999995</v>
      </c>
      <c r="G563" s="8">
        <v>2030790</v>
      </c>
      <c r="H563" s="7">
        <v>-7.1733062976008828</v>
      </c>
      <c r="I563" s="4">
        <v>161668.02960263999</v>
      </c>
      <c r="J563" s="11">
        <v>1.2978000000000001</v>
      </c>
      <c r="K563" s="11">
        <v>56.446599999999997</v>
      </c>
      <c r="L563" s="7">
        <v>1</v>
      </c>
      <c r="M563" s="8">
        <v>113.7312</v>
      </c>
      <c r="N563" s="8">
        <v>11.550154136671916</v>
      </c>
      <c r="O563" s="8">
        <v>7.9468973092582072E-3</v>
      </c>
      <c r="P563" s="8">
        <v>2.1473791797505211</v>
      </c>
      <c r="Q563" s="8">
        <v>0.10844568438565597</v>
      </c>
      <c r="R563" s="3">
        <v>8.3199438417562409E-3</v>
      </c>
      <c r="S563" s="33">
        <v>-6.0497682581134235E-2</v>
      </c>
      <c r="T563" s="5">
        <v>43</v>
      </c>
      <c r="U563" s="34">
        <v>0.10612881666666664</v>
      </c>
      <c r="V563">
        <v>105.944781034025</v>
      </c>
    </row>
    <row r="564" spans="1:22" ht="16" x14ac:dyDescent="0.2">
      <c r="A564" s="2" t="s">
        <v>51</v>
      </c>
      <c r="B564" s="5">
        <v>2015</v>
      </c>
      <c r="C564" s="12">
        <v>6.0389514436099363</v>
      </c>
      <c r="D564" s="4">
        <v>1.5026150916310517</v>
      </c>
      <c r="E564" s="6">
        <v>2.7776460258536195E-3</v>
      </c>
      <c r="F564" s="11">
        <v>0.98340000000000005</v>
      </c>
      <c r="G564" s="8">
        <v>2128382</v>
      </c>
      <c r="H564" s="7">
        <v>4.8056175183056844</v>
      </c>
      <c r="I564" s="4">
        <v>115452.69119984</v>
      </c>
      <c r="J564" s="11">
        <v>1.1418999999999999</v>
      </c>
      <c r="K564" s="11">
        <v>56.529299999999999</v>
      </c>
      <c r="L564" s="7">
        <v>1</v>
      </c>
      <c r="M564" s="8">
        <v>87.843299999999999</v>
      </c>
      <c r="N564" s="8">
        <v>11.447328120009837</v>
      </c>
      <c r="O564" s="8">
        <v>7.1363541326715752E-3</v>
      </c>
      <c r="P564" s="8">
        <v>3.1162471438387622</v>
      </c>
      <c r="Q564" s="8">
        <v>0.11716246906391031</v>
      </c>
      <c r="R564" s="3">
        <v>8.0243352171745028E-3</v>
      </c>
      <c r="S564" s="33">
        <v>-9.2314533358446485E-2</v>
      </c>
      <c r="T564" s="5">
        <v>44.8</v>
      </c>
      <c r="U564" s="34">
        <v>0.16251885833333332</v>
      </c>
      <c r="V564">
        <v>121.044025684011</v>
      </c>
    </row>
    <row r="565" spans="1:22" ht="16" x14ac:dyDescent="0.2">
      <c r="A565" s="2" t="s">
        <v>51</v>
      </c>
      <c r="B565" s="5">
        <v>2016</v>
      </c>
      <c r="C565" s="12">
        <v>5.7420284455481996</v>
      </c>
      <c r="D565" s="4">
        <v>2.070398994202364</v>
      </c>
      <c r="E565" s="6">
        <v>4.2306947562843521E-3</v>
      </c>
      <c r="F565" s="11">
        <v>0.96199999999999997</v>
      </c>
      <c r="G565" s="8">
        <v>1768635</v>
      </c>
      <c r="H565" s="7">
        <v>-16.902369969300622</v>
      </c>
      <c r="I565" s="4">
        <v>105865.85646542998</v>
      </c>
      <c r="J565" s="11">
        <v>1.1131</v>
      </c>
      <c r="K565" s="11">
        <v>56.3551</v>
      </c>
      <c r="L565" s="7">
        <v>1</v>
      </c>
      <c r="M565" s="8">
        <v>88.6203</v>
      </c>
      <c r="N565" s="8">
        <v>11.501055202336996</v>
      </c>
      <c r="O565" s="8">
        <v>6.3463858334544222E-3</v>
      </c>
      <c r="P565" s="8">
        <v>2.7542200416166605</v>
      </c>
      <c r="Q565" s="8">
        <v>0.14578214632213393</v>
      </c>
      <c r="R565" s="3">
        <v>8.3864891080392689E-3</v>
      </c>
      <c r="S565" s="33">
        <v>0.12570431786897612</v>
      </c>
      <c r="T565" s="5">
        <v>44.6</v>
      </c>
      <c r="U565" s="34">
        <v>0.17348815833333334</v>
      </c>
      <c r="V565">
        <v>108.79290004683401</v>
      </c>
    </row>
    <row r="566" spans="1:22" ht="16" x14ac:dyDescent="0.2">
      <c r="A566" s="2" t="s">
        <v>51</v>
      </c>
      <c r="B566" s="5">
        <v>2017</v>
      </c>
      <c r="C566" s="12">
        <v>3.9126603318883331</v>
      </c>
      <c r="D566" s="4">
        <v>3.7060318266647903</v>
      </c>
      <c r="E566" s="6">
        <v>-2.4454978929276505E-2</v>
      </c>
      <c r="F566" s="11">
        <v>0.96499999999999997</v>
      </c>
      <c r="G566" s="8">
        <v>1711160</v>
      </c>
      <c r="H566" s="7">
        <v>-3.2496812513605122</v>
      </c>
      <c r="I566" s="4">
        <v>91965.942520200013</v>
      </c>
      <c r="J566" s="11">
        <v>1.0908</v>
      </c>
      <c r="K566" s="11">
        <v>67.855699999999999</v>
      </c>
      <c r="L566" s="7">
        <v>1</v>
      </c>
      <c r="M566" s="8">
        <v>54.806100000000001</v>
      </c>
      <c r="N566" s="8">
        <v>11.506054641832076</v>
      </c>
      <c r="O566" s="8">
        <v>5.9321741851510344E-3</v>
      </c>
      <c r="P566" s="8">
        <v>7.3883601187554309</v>
      </c>
      <c r="Q566" s="8">
        <v>0.31150932213513188</v>
      </c>
      <c r="R566" s="3">
        <v>8.4750700956532955E-3</v>
      </c>
      <c r="S566" s="33">
        <v>-1.4557344380430779E-2</v>
      </c>
      <c r="T566" s="5">
        <v>44</v>
      </c>
      <c r="U566" s="34">
        <v>6.9751091666666667E-2</v>
      </c>
      <c r="V566">
        <v>112.166141081871</v>
      </c>
    </row>
    <row r="567" spans="1:22" ht="16" x14ac:dyDescent="0.2">
      <c r="A567" s="2" t="s">
        <v>51</v>
      </c>
      <c r="B567" s="5">
        <v>2018</v>
      </c>
      <c r="C567" s="12">
        <v>5.9476147773136336</v>
      </c>
      <c r="D567" s="4">
        <v>1.3088451422313092</v>
      </c>
      <c r="E567" s="6">
        <v>4.0804775063557888E-3</v>
      </c>
      <c r="F567" s="11">
        <v>0.96579999999999999</v>
      </c>
      <c r="G567" s="8">
        <v>1392981</v>
      </c>
      <c r="H567" s="7">
        <v>-18.594345356366439</v>
      </c>
      <c r="I567" s="4">
        <v>89030.631538000001</v>
      </c>
      <c r="J567" s="11">
        <v>1.1222000000000001</v>
      </c>
      <c r="K567" s="11">
        <v>62.125799999999998</v>
      </c>
      <c r="L567" s="7">
        <v>1</v>
      </c>
      <c r="M567" s="8">
        <v>62.641399999999997</v>
      </c>
      <c r="N567" s="8">
        <v>11.595186702807899</v>
      </c>
      <c r="O567" s="8">
        <v>4.88028093474088E-3</v>
      </c>
      <c r="P567" s="8">
        <v>6.5569969561637231</v>
      </c>
      <c r="Q567" s="8">
        <v>0.24925953384875141</v>
      </c>
      <c r="R567" s="3">
        <v>8.5948375561459203E-3</v>
      </c>
      <c r="S567" s="33">
        <v>2.2317420335519114E-2</v>
      </c>
      <c r="T567" s="5">
        <v>45.2</v>
      </c>
      <c r="U567" s="34">
        <v>9.823383333333334E-2</v>
      </c>
      <c r="V567">
        <v>110.42317934106001</v>
      </c>
    </row>
    <row r="568" spans="1:22" ht="16" x14ac:dyDescent="0.2">
      <c r="A568" s="2" t="s">
        <v>51</v>
      </c>
      <c r="B568" s="5">
        <v>2019</v>
      </c>
      <c r="C568" s="12">
        <v>5.4604191599886436</v>
      </c>
      <c r="D568" s="4">
        <v>0.99507302871310088</v>
      </c>
      <c r="E568" s="6">
        <v>3.7629811619875018E-3</v>
      </c>
      <c r="F568" s="11">
        <v>0.95589999999999997</v>
      </c>
      <c r="G568" s="8">
        <v>1260160</v>
      </c>
      <c r="H568" s="7">
        <v>-9.5350187834579234</v>
      </c>
      <c r="I568" s="4">
        <v>84868.045534999997</v>
      </c>
      <c r="J568" s="11">
        <v>1.1376999999999999</v>
      </c>
      <c r="K568" s="11">
        <v>58.627499999999998</v>
      </c>
      <c r="L568" s="7">
        <v>1</v>
      </c>
      <c r="M568" s="8">
        <v>64.515199999999993</v>
      </c>
      <c r="N568" s="8">
        <v>11.580784981119248</v>
      </c>
      <c r="O568" s="8">
        <v>4.8990015737908552E-3</v>
      </c>
      <c r="P568" s="8">
        <v>8.4905280009403725</v>
      </c>
      <c r="Q568" s="8">
        <v>0.4280711328467306</v>
      </c>
      <c r="R568" s="3">
        <v>8.6089482439602339E-3</v>
      </c>
      <c r="S568" s="33">
        <v>1.5297507443604967E-2</v>
      </c>
      <c r="T568" s="5">
        <v>45.2</v>
      </c>
      <c r="U568" s="34">
        <v>0.16861495833333337</v>
      </c>
      <c r="V568">
        <v>109.009665900863</v>
      </c>
    </row>
    <row r="569" spans="1:22" ht="16" x14ac:dyDescent="0.2">
      <c r="A569" s="2" t="s">
        <v>51</v>
      </c>
      <c r="B569" s="5">
        <v>2020</v>
      </c>
      <c r="C569" s="12">
        <v>4.4490742524216005</v>
      </c>
      <c r="D569" s="4">
        <v>0.45318341326997286</v>
      </c>
      <c r="E569" s="6">
        <v>1.2554292114988867E-2</v>
      </c>
      <c r="F569" s="11">
        <v>0.95099999999999996</v>
      </c>
      <c r="G569" s="8">
        <v>1147908</v>
      </c>
      <c r="H569" s="7">
        <v>-8.9077577450482472</v>
      </c>
      <c r="I569" s="4">
        <v>87582.948672560015</v>
      </c>
      <c r="J569" s="11">
        <v>1.0084</v>
      </c>
      <c r="K569" s="11">
        <v>61.438600000000001</v>
      </c>
      <c r="L569" s="7">
        <v>1</v>
      </c>
      <c r="M569" s="8">
        <v>121.59059999999999</v>
      </c>
      <c r="N569" s="8">
        <v>11.664563008943921</v>
      </c>
      <c r="O569" s="8">
        <v>5.0367609486818149E-3</v>
      </c>
      <c r="P569" s="8">
        <v>9.9665014392633804</v>
      </c>
      <c r="Q569" s="8">
        <v>0.52503246029090789</v>
      </c>
      <c r="R569" s="3">
        <v>8.8581133013852561E-3</v>
      </c>
      <c r="S569" s="33">
        <v>-1.3521754698139338E-2</v>
      </c>
      <c r="T569" s="5">
        <v>45.4</v>
      </c>
      <c r="U569" s="34">
        <v>0.19133301666666666</v>
      </c>
      <c r="V569">
        <v>106.77458226243699</v>
      </c>
    </row>
    <row r="570" spans="1:22" ht="16" x14ac:dyDescent="0.2">
      <c r="A570" s="2" t="s">
        <v>51</v>
      </c>
      <c r="B570" s="5">
        <v>2021</v>
      </c>
      <c r="C570" s="4">
        <v>4.561043148873579</v>
      </c>
      <c r="D570" s="4">
        <v>-1.0235332019387651</v>
      </c>
      <c r="E570" s="13">
        <v>2.448382948252787E-2</v>
      </c>
      <c r="F570" s="4">
        <v>0.95709999999999995</v>
      </c>
      <c r="G570" s="4">
        <v>1147356</v>
      </c>
      <c r="H570" s="7">
        <v>-4.8087477393658727E-2</v>
      </c>
      <c r="I570" s="4">
        <v>95035.198335880006</v>
      </c>
      <c r="J570" s="4">
        <v>1.0130999999999999</v>
      </c>
      <c r="K570" s="4">
        <v>57.269599999999997</v>
      </c>
      <c r="L570" s="7">
        <v>1</v>
      </c>
      <c r="M570" s="4">
        <v>141.54750000000001</v>
      </c>
      <c r="N570" s="4">
        <v>11.753960478074548</v>
      </c>
      <c r="O570" s="4">
        <v>5.7848624183989648E-3</v>
      </c>
      <c r="P570" s="7">
        <v>15.066720439088158</v>
      </c>
      <c r="Q570" s="4">
        <v>0.14352907434570883</v>
      </c>
      <c r="R570" s="3">
        <v>8.3596584477087128E-3</v>
      </c>
      <c r="S570" s="33">
        <v>-8.566975901496245E-3</v>
      </c>
      <c r="T570" s="5">
        <v>45.6</v>
      </c>
      <c r="U570" s="34">
        <v>8.6284741666666664E-2</v>
      </c>
      <c r="V570">
        <v>109.754323839417</v>
      </c>
    </row>
    <row r="571" spans="1:22" ht="16" x14ac:dyDescent="0.2">
      <c r="A571" s="2" t="s">
        <v>51</v>
      </c>
      <c r="B571" s="5">
        <v>2022</v>
      </c>
      <c r="C571" s="4">
        <v>4.0416497268592977</v>
      </c>
      <c r="D571" s="4">
        <v>-0.29304007129996673</v>
      </c>
      <c r="E571" s="13">
        <v>2.1159113687022117E-2</v>
      </c>
      <c r="F571" s="4">
        <v>0.95979999999999999</v>
      </c>
      <c r="G571" s="4">
        <v>1483644</v>
      </c>
      <c r="H571" s="7">
        <v>29.309821886145187</v>
      </c>
      <c r="I571" s="4">
        <v>91649.65387164001</v>
      </c>
      <c r="J571" s="4">
        <v>1.0351999999999999</v>
      </c>
      <c r="K571" s="4">
        <v>63.466799999999999</v>
      </c>
      <c r="L571" s="7">
        <v>1</v>
      </c>
      <c r="M571" s="4">
        <v>182.9984</v>
      </c>
      <c r="N571" s="4">
        <v>11.717686343942884</v>
      </c>
      <c r="O571" s="4">
        <v>5.6112594621063987E-3</v>
      </c>
      <c r="P571" s="7">
        <v>17.354858258686601</v>
      </c>
      <c r="Q571" s="4">
        <v>0.10992050269253717</v>
      </c>
      <c r="R571" s="3">
        <v>8.2315480067445268E-3</v>
      </c>
      <c r="S571" s="33">
        <v>-0.15470779172132842</v>
      </c>
      <c r="T571" s="5">
        <v>46.3</v>
      </c>
      <c r="U571" s="34">
        <v>0.19251043333333331</v>
      </c>
      <c r="V571">
        <v>131.49814044376399</v>
      </c>
    </row>
    <row r="572" spans="1:22" x14ac:dyDescent="0.2">
      <c r="U572" s="34"/>
    </row>
    <row r="573" spans="1:22" ht="16" x14ac:dyDescent="0.2">
      <c r="A573" s="2" t="s">
        <v>52</v>
      </c>
      <c r="B573" s="5">
        <v>2014</v>
      </c>
      <c r="C573" s="12">
        <v>1.2986658268114948</v>
      </c>
      <c r="D573" s="4">
        <v>0.28305485564643545</v>
      </c>
      <c r="E573" s="9">
        <v>1.9194295922743451E-2</v>
      </c>
      <c r="F573" s="11">
        <v>0.98429999999999995</v>
      </c>
      <c r="G573" s="8">
        <v>12046.2564</v>
      </c>
      <c r="H573" s="4">
        <v>-22.279551213511294</v>
      </c>
      <c r="I573" s="4">
        <v>111729.80723705998</v>
      </c>
      <c r="J573" s="11">
        <v>1.2630999999999999</v>
      </c>
      <c r="K573" s="11">
        <v>64.370500000000007</v>
      </c>
      <c r="L573" s="7">
        <v>1</v>
      </c>
      <c r="M573" s="8">
        <v>80.271199999999993</v>
      </c>
      <c r="N573" s="8">
        <v>10.90507260710555</v>
      </c>
      <c r="O573" s="8">
        <v>1.1112620334726616E-2</v>
      </c>
      <c r="P573" s="8">
        <v>9.8628261438052825E-2</v>
      </c>
      <c r="Q573" s="8">
        <v>0.16343646506685558</v>
      </c>
      <c r="R573" s="3">
        <v>7.7511085009251005E-3</v>
      </c>
      <c r="S573" s="33">
        <v>-6.0497682581134235E-2</v>
      </c>
      <c r="T573" s="5">
        <v>43</v>
      </c>
      <c r="U573" s="34">
        <v>0.10612881666666664</v>
      </c>
      <c r="V573">
        <v>105.944781034025</v>
      </c>
    </row>
    <row r="574" spans="1:22" ht="16" x14ac:dyDescent="0.2">
      <c r="A574" s="2" t="s">
        <v>52</v>
      </c>
      <c r="B574" s="5">
        <v>2015</v>
      </c>
      <c r="C574" s="12">
        <v>0.93149823149761912</v>
      </c>
      <c r="D574" s="4">
        <v>0.27180047286179265</v>
      </c>
      <c r="E574" s="9">
        <v>1.3202066335119039E-2</v>
      </c>
      <c r="F574" s="11">
        <v>0.97970000000000002</v>
      </c>
      <c r="G574" s="8">
        <v>11915.8434</v>
      </c>
      <c r="H574" s="4">
        <v>-1.0826018944773621</v>
      </c>
      <c r="I574" s="4">
        <v>82549.125128799991</v>
      </c>
      <c r="J574" s="11">
        <v>1.2529999999999999</v>
      </c>
      <c r="K574" s="11">
        <v>70.843699999999998</v>
      </c>
      <c r="L574" s="7">
        <v>1</v>
      </c>
      <c r="M574" s="8">
        <v>81.987399999999994</v>
      </c>
      <c r="N574" s="8">
        <v>10.797308290372312</v>
      </c>
      <c r="O574" s="8">
        <v>1.056251294361237E-2</v>
      </c>
      <c r="P574" s="8">
        <v>0.14589731428659511</v>
      </c>
      <c r="Q574" s="8">
        <v>0.23165297435274348</v>
      </c>
      <c r="R574" s="3">
        <v>7.8889819372034587E-3</v>
      </c>
      <c r="S574" s="33">
        <v>-9.2314533358446485E-2</v>
      </c>
      <c r="T574" s="5">
        <v>44.8</v>
      </c>
      <c r="U574" s="34">
        <v>0.16251885833333332</v>
      </c>
      <c r="V574">
        <v>121.044025684011</v>
      </c>
    </row>
    <row r="575" spans="1:22" ht="16" x14ac:dyDescent="0.2">
      <c r="A575" s="2" t="s">
        <v>52</v>
      </c>
      <c r="B575" s="5">
        <v>2016</v>
      </c>
      <c r="C575" s="12">
        <v>1.1416298206572084</v>
      </c>
      <c r="D575" s="4">
        <v>1.5019480146031525</v>
      </c>
      <c r="E575" s="9">
        <v>8.0164175697667109E-3</v>
      </c>
      <c r="F575" s="11">
        <v>0.96789999999999998</v>
      </c>
      <c r="G575" s="8">
        <v>11660.267099999999</v>
      </c>
      <c r="H575" s="4">
        <v>-2.1448444010266252</v>
      </c>
      <c r="I575" s="4">
        <v>81739.481906400004</v>
      </c>
      <c r="J575" s="11">
        <v>1.2626999999999999</v>
      </c>
      <c r="K575" s="11">
        <v>64.469700000000003</v>
      </c>
      <c r="L575" s="7">
        <v>1</v>
      </c>
      <c r="M575" s="8">
        <v>117.2158</v>
      </c>
      <c r="N575" s="8">
        <v>10.901835289408758</v>
      </c>
      <c r="O575" s="8">
        <v>9.5951195600694986E-3</v>
      </c>
      <c r="P575" s="8">
        <v>0.13618232262282584</v>
      </c>
      <c r="Q575" s="8">
        <v>0.15909106174365278</v>
      </c>
      <c r="R575" s="3">
        <v>7.8778925526158516E-3</v>
      </c>
      <c r="S575" s="33">
        <v>0.12570431786897612</v>
      </c>
      <c r="T575" s="5">
        <v>44.6</v>
      </c>
      <c r="U575" s="34">
        <v>0.17348815833333334</v>
      </c>
      <c r="V575">
        <v>108.79290004683401</v>
      </c>
    </row>
    <row r="576" spans="1:22" ht="16" x14ac:dyDescent="0.2">
      <c r="A576" s="2" t="s">
        <v>52</v>
      </c>
      <c r="B576" s="5">
        <v>2017</v>
      </c>
      <c r="C576" s="12">
        <v>3.9756417886464508</v>
      </c>
      <c r="D576" s="4">
        <v>4.4822678839945187</v>
      </c>
      <c r="E576" s="9">
        <v>-3.156737042003669E-2</v>
      </c>
      <c r="F576" s="11">
        <v>0.97899999999999998</v>
      </c>
      <c r="G576" s="8">
        <v>10195.819</v>
      </c>
      <c r="H576" s="4">
        <v>-12.559301493187919</v>
      </c>
      <c r="I576" s="4">
        <v>171529.63444152</v>
      </c>
      <c r="J576" s="11">
        <v>1.1512</v>
      </c>
      <c r="K576" s="11">
        <v>69.113</v>
      </c>
      <c r="L576" s="7">
        <v>1</v>
      </c>
      <c r="M576" s="8">
        <v>144.42339999999999</v>
      </c>
      <c r="N576" s="8">
        <v>11.883528333883298</v>
      </c>
      <c r="O576" s="8">
        <v>7.6902432578087113E-3</v>
      </c>
      <c r="P576" s="8">
        <v>8.4291138560254705E-2</v>
      </c>
      <c r="Q576" s="8">
        <v>0.19678908343807325</v>
      </c>
      <c r="R576" s="3">
        <v>7.43338933635934E-3</v>
      </c>
      <c r="S576" s="33">
        <v>-1.4557344380430779E-2</v>
      </c>
      <c r="T576" s="5">
        <v>44</v>
      </c>
      <c r="U576" s="34">
        <v>6.9751091666666667E-2</v>
      </c>
      <c r="V576">
        <v>112.166141081871</v>
      </c>
    </row>
    <row r="577" spans="1:22" ht="16" x14ac:dyDescent="0.2">
      <c r="A577" s="2" t="s">
        <v>52</v>
      </c>
      <c r="B577" s="5">
        <v>2018</v>
      </c>
      <c r="C577" s="12">
        <v>0.84629135306765324</v>
      </c>
      <c r="D577" s="4">
        <v>0.97793634959900644</v>
      </c>
      <c r="E577" s="9">
        <v>5.6911977821183964E-3</v>
      </c>
      <c r="F577" s="11">
        <v>0.9758</v>
      </c>
      <c r="G577" s="8">
        <v>9566.8610000000008</v>
      </c>
      <c r="H577" s="4">
        <v>-6.1687834984124255</v>
      </c>
      <c r="I577" s="4">
        <v>173682.43542705002</v>
      </c>
      <c r="J577" s="11">
        <v>1.0027999999999999</v>
      </c>
      <c r="K577" s="11">
        <v>69.488</v>
      </c>
      <c r="L577" s="7">
        <v>1</v>
      </c>
      <c r="M577" s="8">
        <v>162.2466</v>
      </c>
      <c r="N577" s="8">
        <v>11.969582742186288</v>
      </c>
      <c r="O577" s="8">
        <v>7.5515081592107116E-3</v>
      </c>
      <c r="P577" s="8">
        <v>0.10094112051626344</v>
      </c>
      <c r="Q577" s="8">
        <v>0.22274340527577938</v>
      </c>
      <c r="R577" s="3">
        <v>7.3712133569511576E-3</v>
      </c>
      <c r="S577" s="33">
        <v>2.2317420335519114E-2</v>
      </c>
      <c r="T577" s="5">
        <v>45.2</v>
      </c>
      <c r="U577" s="34">
        <v>9.823383333333334E-2</v>
      </c>
      <c r="V577">
        <v>110.42317934106001</v>
      </c>
    </row>
    <row r="578" spans="1:22" ht="16" x14ac:dyDescent="0.2">
      <c r="A578" s="2" t="s">
        <v>52</v>
      </c>
      <c r="B578" s="5">
        <v>2019</v>
      </c>
      <c r="C578" s="12">
        <v>0.87174671862432773</v>
      </c>
      <c r="D578" s="4">
        <v>1.5281367401745016</v>
      </c>
      <c r="E578" s="9">
        <v>-4.6603259648861914E-4</v>
      </c>
      <c r="F578" s="11">
        <v>0.96619999999999995</v>
      </c>
      <c r="G578" s="8">
        <v>9729.7019999999993</v>
      </c>
      <c r="H578" s="4">
        <v>1.7021361552132777</v>
      </c>
      <c r="I578" s="4">
        <v>155234.94389451999</v>
      </c>
      <c r="J578" s="11">
        <v>1.0327999999999999</v>
      </c>
      <c r="K578" s="11">
        <v>69.331199999999995</v>
      </c>
      <c r="L578" s="7">
        <v>1</v>
      </c>
      <c r="M578" s="8">
        <v>174.84870000000001</v>
      </c>
      <c r="N578" s="8">
        <v>11.962947391811793</v>
      </c>
      <c r="O578" s="8">
        <v>6.5755285075991664E-3</v>
      </c>
      <c r="P578" s="8">
        <v>8.2416349895377147E-2</v>
      </c>
      <c r="Q578" s="8">
        <v>0.23731588474647389</v>
      </c>
      <c r="R578" s="3">
        <v>7.593449432986882E-3</v>
      </c>
      <c r="S578" s="33">
        <v>1.5297507443604967E-2</v>
      </c>
      <c r="T578" s="5">
        <v>45.2</v>
      </c>
      <c r="U578" s="34">
        <v>0.16861495833333337</v>
      </c>
      <c r="V578">
        <v>109.009665900863</v>
      </c>
    </row>
    <row r="579" spans="1:22" ht="16" x14ac:dyDescent="0.2">
      <c r="A579" s="2" t="s">
        <v>52</v>
      </c>
      <c r="B579" s="5">
        <v>2020</v>
      </c>
      <c r="C579" s="12">
        <v>0.68902643608490788</v>
      </c>
      <c r="D579" s="4">
        <v>0.5346163425574223</v>
      </c>
      <c r="E579" s="9">
        <v>1.6938495793798702E-2</v>
      </c>
      <c r="F579" s="11">
        <v>0.96479999999999999</v>
      </c>
      <c r="G579" s="8">
        <v>12978.838</v>
      </c>
      <c r="H579" s="4">
        <v>33.39399295065769</v>
      </c>
      <c r="I579" s="4">
        <v>156242.22868771999</v>
      </c>
      <c r="J579" s="11">
        <v>0.96640000000000004</v>
      </c>
      <c r="K579" s="11">
        <v>73.23</v>
      </c>
      <c r="L579" s="7">
        <v>1</v>
      </c>
      <c r="M579" s="8">
        <v>194.6207</v>
      </c>
      <c r="N579" s="8">
        <v>12.014886978735522</v>
      </c>
      <c r="O579" s="8">
        <v>6.1325727064907003E-3</v>
      </c>
      <c r="P579" s="8">
        <v>0.1067766333399161</v>
      </c>
      <c r="Q579" s="8">
        <v>0.30922704226757108</v>
      </c>
      <c r="R579" s="3">
        <v>7.5524253252410248E-3</v>
      </c>
      <c r="S579" s="33">
        <v>-1.3521754698139338E-2</v>
      </c>
      <c r="T579" s="5">
        <v>45.4</v>
      </c>
      <c r="U579" s="34">
        <v>0.19133301666666666</v>
      </c>
      <c r="V579">
        <v>106.77458226243699</v>
      </c>
    </row>
    <row r="580" spans="1:22" ht="16" x14ac:dyDescent="0.2">
      <c r="A580" s="2" t="s">
        <v>52</v>
      </c>
      <c r="B580" s="5">
        <v>2021</v>
      </c>
      <c r="C580" s="4">
        <v>0.60004260411029409</v>
      </c>
      <c r="D580" s="4">
        <v>-4.5234000929847289</v>
      </c>
      <c r="E580" s="9">
        <v>6.2747821605086782E-2</v>
      </c>
      <c r="F580" s="4">
        <v>0.96950000000000003</v>
      </c>
      <c r="G580" s="4">
        <v>11888.094999999999</v>
      </c>
      <c r="H580" s="4">
        <v>-8.4040112065502353</v>
      </c>
      <c r="I580" s="4">
        <v>162515.55048383999</v>
      </c>
      <c r="J580" s="4">
        <v>0.95379999999999998</v>
      </c>
      <c r="K580" s="4">
        <v>68.739199999999997</v>
      </c>
      <c r="L580" s="7">
        <v>1</v>
      </c>
      <c r="M580" s="4">
        <v>510.55290000000002</v>
      </c>
      <c r="N580" s="4">
        <v>12.237801904702691</v>
      </c>
      <c r="O580" s="4">
        <v>7.039252580779953E-3</v>
      </c>
      <c r="P580" s="7">
        <v>0.28105165709998808</v>
      </c>
      <c r="Q580" s="4">
        <v>0.11036783203987102</v>
      </c>
      <c r="R580" s="3">
        <v>7.0529301188840196E-3</v>
      </c>
      <c r="S580" s="33">
        <v>-8.566975901496245E-3</v>
      </c>
      <c r="T580" s="5">
        <v>45.6</v>
      </c>
      <c r="U580" s="34">
        <v>8.6284741666666664E-2</v>
      </c>
      <c r="V580">
        <v>109.754323839417</v>
      </c>
    </row>
    <row r="581" spans="1:22" ht="16" x14ac:dyDescent="0.2">
      <c r="A581" s="2" t="s">
        <v>52</v>
      </c>
      <c r="B581" s="5">
        <v>2022</v>
      </c>
      <c r="C581" s="4">
        <v>0.59872249875994843</v>
      </c>
      <c r="D581" s="4">
        <v>0.37525338449014489</v>
      </c>
      <c r="E581" s="9">
        <v>1.4395739181899087E-2</v>
      </c>
      <c r="F581" s="4">
        <v>0.97170000000000001</v>
      </c>
      <c r="G581" s="4">
        <v>11216.359</v>
      </c>
      <c r="H581" s="4">
        <v>-5.6504932034947482</v>
      </c>
      <c r="I581" s="4">
        <v>136902.90090086375</v>
      </c>
      <c r="J581" s="4">
        <v>0.95509999999999995</v>
      </c>
      <c r="K581" s="4">
        <v>66.0047</v>
      </c>
      <c r="L581" s="7">
        <v>1</v>
      </c>
      <c r="M581" s="4">
        <v>606.88490000000002</v>
      </c>
      <c r="N581" s="4">
        <v>12.198372791089252</v>
      </c>
      <c r="O581" s="4">
        <v>7.9798566633435646E-3</v>
      </c>
      <c r="P581" s="7">
        <v>0.29910118679520925</v>
      </c>
      <c r="Q581" s="4">
        <v>5.2482623621508524E-2</v>
      </c>
      <c r="R581" s="3">
        <v>6.8594106146653584E-3</v>
      </c>
      <c r="S581" s="33">
        <v>-0.15470779172132842</v>
      </c>
      <c r="T581" s="5">
        <v>46.3</v>
      </c>
      <c r="U581" s="34">
        <v>0.19251043333333331</v>
      </c>
      <c r="V581">
        <v>131.49814044376399</v>
      </c>
    </row>
    <row r="582" spans="1:22" x14ac:dyDescent="0.2">
      <c r="U582" s="34"/>
    </row>
    <row r="583" spans="1:22" ht="16" x14ac:dyDescent="0.2">
      <c r="A583" s="2" t="s">
        <v>53</v>
      </c>
      <c r="B583" s="5">
        <v>2014</v>
      </c>
      <c r="C583" s="12">
        <v>5.6625446830092621</v>
      </c>
      <c r="D583" s="4">
        <v>-0.25821296433289653</v>
      </c>
      <c r="E583" s="9">
        <v>1.3029932794391312E-2</v>
      </c>
      <c r="F583" s="11">
        <v>0.99590000000000001</v>
      </c>
      <c r="G583" s="8">
        <v>272674.53000000003</v>
      </c>
      <c r="H583" s="7">
        <v>-9.9782590559287279</v>
      </c>
      <c r="I583" s="4">
        <v>77249.751427800002</v>
      </c>
      <c r="J583" s="11">
        <v>0.99070000000000003</v>
      </c>
      <c r="K583" s="11">
        <v>45.9893</v>
      </c>
      <c r="L583" s="7">
        <v>1</v>
      </c>
      <c r="M583" s="8">
        <v>218.03980000000001</v>
      </c>
      <c r="N583" s="8">
        <v>10.749850590398594</v>
      </c>
      <c r="O583" s="8">
        <v>2.4260765641173392E-2</v>
      </c>
      <c r="P583" s="8">
        <v>8.0764751143972482E-2</v>
      </c>
      <c r="Q583" s="8">
        <v>0.2940106559693787</v>
      </c>
      <c r="R583" s="3">
        <v>8.8662550651772108E-3</v>
      </c>
      <c r="S583" s="33">
        <v>-6.0497682581134235E-2</v>
      </c>
      <c r="T583" s="5">
        <v>43</v>
      </c>
      <c r="U583" s="34">
        <v>0.10612881666666664</v>
      </c>
      <c r="V583">
        <v>105.944781034025</v>
      </c>
    </row>
    <row r="584" spans="1:22" ht="16" x14ac:dyDescent="0.2">
      <c r="A584" s="2" t="s">
        <v>53</v>
      </c>
      <c r="B584" s="5">
        <v>2015</v>
      </c>
      <c r="C584" s="12">
        <v>5.9192239590911457</v>
      </c>
      <c r="D584" s="4">
        <v>0.2267251379276824</v>
      </c>
      <c r="E584" s="9">
        <v>1.1304495292789563E-2</v>
      </c>
      <c r="F584" s="11">
        <v>1.0168999999999999</v>
      </c>
      <c r="G584" s="8">
        <v>247480.85</v>
      </c>
      <c r="H584" s="7">
        <v>-9.2394694876708936</v>
      </c>
      <c r="I584" s="4">
        <v>32445.270744810001</v>
      </c>
      <c r="J584" s="11">
        <v>1.1696</v>
      </c>
      <c r="K584" s="11">
        <v>42.2164</v>
      </c>
      <c r="L584" s="7">
        <v>1</v>
      </c>
      <c r="M584" s="8">
        <v>209.62880000000001</v>
      </c>
      <c r="N584" s="8">
        <v>10.622652630523051</v>
      </c>
      <c r="O584" s="8">
        <v>2.2719881550595643E-2</v>
      </c>
      <c r="P584" s="8">
        <v>0.1014873623924596</v>
      </c>
      <c r="Q584" s="8">
        <v>0.22478419023336507</v>
      </c>
      <c r="R584" s="3">
        <v>9.3980357351478687E-3</v>
      </c>
      <c r="S584" s="33">
        <v>-9.2314533358446485E-2</v>
      </c>
      <c r="T584" s="5">
        <v>44.8</v>
      </c>
      <c r="U584" s="34">
        <v>0.16251885833333332</v>
      </c>
      <c r="V584">
        <v>121.044025684011</v>
      </c>
    </row>
    <row r="585" spans="1:22" ht="16" x14ac:dyDescent="0.2">
      <c r="A585" s="2" t="s">
        <v>53</v>
      </c>
      <c r="B585" s="5">
        <v>2016</v>
      </c>
      <c r="C585" s="12">
        <v>5.8559220262980141</v>
      </c>
      <c r="D585" s="4">
        <v>0.80932363375848282</v>
      </c>
      <c r="E585" s="9">
        <v>1.0115335760442793E-2</v>
      </c>
      <c r="F585" s="11">
        <v>1.0117</v>
      </c>
      <c r="G585" s="8">
        <v>272887.03999999998</v>
      </c>
      <c r="H585" s="7">
        <v>10.265921585447915</v>
      </c>
      <c r="I585" s="4">
        <v>21176.427734280001</v>
      </c>
      <c r="J585" s="11">
        <v>1.2214</v>
      </c>
      <c r="K585" s="11">
        <v>45.460299999999997</v>
      </c>
      <c r="L585" s="7">
        <v>1</v>
      </c>
      <c r="M585" s="8">
        <v>269.21690000000001</v>
      </c>
      <c r="N585" s="8">
        <v>10.617073540339812</v>
      </c>
      <c r="O585" s="8">
        <v>2.420654784591374E-2</v>
      </c>
      <c r="P585" s="8">
        <v>0.1064518637556055</v>
      </c>
      <c r="Q585" s="8">
        <v>0.2766212271531534</v>
      </c>
      <c r="R585" s="3">
        <v>8.6484673183451957E-3</v>
      </c>
      <c r="S585" s="33">
        <v>0.12570431786897612</v>
      </c>
      <c r="T585" s="5">
        <v>44.6</v>
      </c>
      <c r="U585" s="34">
        <v>0.17348815833333334</v>
      </c>
      <c r="V585">
        <v>108.79290004683401</v>
      </c>
    </row>
    <row r="586" spans="1:22" ht="16" x14ac:dyDescent="0.2">
      <c r="A586" s="2" t="s">
        <v>53</v>
      </c>
      <c r="B586" s="5">
        <v>2017</v>
      </c>
      <c r="C586" s="12">
        <v>6.1168862628654912</v>
      </c>
      <c r="D586" s="4">
        <v>1.0618936827215428</v>
      </c>
      <c r="E586" s="9">
        <v>-7.5800893402535045E-4</v>
      </c>
      <c r="F586" s="11">
        <v>1.0129999999999999</v>
      </c>
      <c r="G586" s="8">
        <v>272887.04300000001</v>
      </c>
      <c r="H586" s="7">
        <v>1.0993559921632894E-6</v>
      </c>
      <c r="I586" s="4">
        <v>11577.288346400002</v>
      </c>
      <c r="J586" s="11">
        <v>1.1907000000000001</v>
      </c>
      <c r="K586" s="11">
        <v>48.983499999999999</v>
      </c>
      <c r="L586" s="7">
        <v>1</v>
      </c>
      <c r="M586" s="8">
        <v>266.68880000000001</v>
      </c>
      <c r="N586" s="8">
        <v>10.626201166376463</v>
      </c>
      <c r="O586" s="8">
        <v>1.9818822935459009E-2</v>
      </c>
      <c r="P586" s="8">
        <v>0.10255746980416244</v>
      </c>
      <c r="Q586" s="8">
        <v>0.41539165427832614</v>
      </c>
      <c r="R586" s="3">
        <v>8.9533822019436139E-3</v>
      </c>
      <c r="S586" s="33">
        <v>-1.4557344380430779E-2</v>
      </c>
      <c r="T586" s="5">
        <v>44</v>
      </c>
      <c r="U586" s="34">
        <v>6.9751091666666667E-2</v>
      </c>
      <c r="V586">
        <v>112.166141081871</v>
      </c>
    </row>
    <row r="587" spans="1:22" ht="16" x14ac:dyDescent="0.2">
      <c r="A587" s="2" t="s">
        <v>53</v>
      </c>
      <c r="B587" s="5">
        <v>2018</v>
      </c>
      <c r="C587" s="12">
        <v>5.8168478676995612</v>
      </c>
      <c r="D587" s="4">
        <v>0.32757663193093411</v>
      </c>
      <c r="E587" s="9">
        <v>8.1437971537740902E-3</v>
      </c>
      <c r="F587" s="11">
        <v>1.0118</v>
      </c>
      <c r="G587" s="8">
        <v>284968.06</v>
      </c>
      <c r="H587" s="7">
        <v>4.4271127229738028</v>
      </c>
      <c r="I587" s="4">
        <v>6549.1559723999999</v>
      </c>
      <c r="J587" s="11">
        <v>1.2544</v>
      </c>
      <c r="K587" s="11">
        <v>50.252099999999999</v>
      </c>
      <c r="L587" s="7">
        <v>1</v>
      </c>
      <c r="M587" s="8">
        <v>282.52949999999998</v>
      </c>
      <c r="N587" s="8">
        <v>10.741840558873186</v>
      </c>
      <c r="O587" s="8">
        <v>1.6389370853187122E-2</v>
      </c>
      <c r="P587" s="8">
        <v>9.5223678078239934E-2</v>
      </c>
      <c r="Q587" s="8">
        <v>0.51940947787739289</v>
      </c>
      <c r="R587" s="3">
        <v>8.9327163862747989E-3</v>
      </c>
      <c r="S587" s="33">
        <v>2.2317420335519114E-2</v>
      </c>
      <c r="T587" s="5">
        <v>45.2</v>
      </c>
      <c r="U587" s="34">
        <v>9.823383333333334E-2</v>
      </c>
      <c r="V587">
        <v>110.42317934106001</v>
      </c>
    </row>
    <row r="588" spans="1:22" ht="16" x14ac:dyDescent="0.2">
      <c r="A588" s="2" t="s">
        <v>53</v>
      </c>
      <c r="B588" s="5">
        <v>2019</v>
      </c>
      <c r="C588" s="12">
        <v>4.650716209359036</v>
      </c>
      <c r="D588" s="4">
        <v>0.3292894612686863</v>
      </c>
      <c r="E588" s="9">
        <v>1.0992895940121428E-2</v>
      </c>
      <c r="F588" s="11">
        <v>0.97529999999999994</v>
      </c>
      <c r="G588" s="8">
        <v>233665.69</v>
      </c>
      <c r="H588" s="7">
        <v>-18.00284916141128</v>
      </c>
      <c r="I588" s="4">
        <v>14089.999601699999</v>
      </c>
      <c r="J588" s="11">
        <v>1.1988000000000001</v>
      </c>
      <c r="K588" s="11">
        <v>51.411999999999999</v>
      </c>
      <c r="L588" s="7">
        <v>1</v>
      </c>
      <c r="M588" s="8">
        <v>297.42189999999999</v>
      </c>
      <c r="N588" s="8">
        <v>10.767243716803888</v>
      </c>
      <c r="O588" s="8">
        <v>1.5905992355421672E-2</v>
      </c>
      <c r="P588" s="8">
        <v>0.10249767500531044</v>
      </c>
      <c r="Q588" s="8">
        <v>0.98617116591608955</v>
      </c>
      <c r="R588" s="3">
        <v>8.7576926836112727E-3</v>
      </c>
      <c r="S588" s="33">
        <v>1.5297507443604967E-2</v>
      </c>
      <c r="T588" s="5">
        <v>45.2</v>
      </c>
      <c r="U588" s="34">
        <v>0.16861495833333337</v>
      </c>
      <c r="V588">
        <v>109.009665900863</v>
      </c>
    </row>
    <row r="589" spans="1:22" ht="16" x14ac:dyDescent="0.2">
      <c r="A589" s="2" t="s">
        <v>53</v>
      </c>
      <c r="B589" s="5">
        <v>2020</v>
      </c>
      <c r="C589" s="12">
        <v>3.5837343246737263</v>
      </c>
      <c r="D589" s="4">
        <v>0.52621778850008727</v>
      </c>
      <c r="E589" s="9">
        <v>2.0098386706656486E-2</v>
      </c>
      <c r="F589" s="11">
        <v>0.9647</v>
      </c>
      <c r="G589" s="8">
        <v>242699.45</v>
      </c>
      <c r="H589" s="7">
        <v>3.8661046044029868</v>
      </c>
      <c r="I589" s="4">
        <v>26312.219411739999</v>
      </c>
      <c r="J589" s="11">
        <v>1.105</v>
      </c>
      <c r="K589" s="11">
        <v>51.375300000000003</v>
      </c>
      <c r="L589" s="7">
        <v>1</v>
      </c>
      <c r="M589" s="8">
        <v>293.71710000000002</v>
      </c>
      <c r="N589" s="8">
        <v>10.803090360345918</v>
      </c>
      <c r="O589" s="8">
        <v>1.7806632743162302E-2</v>
      </c>
      <c r="P589" s="8">
        <v>6.6787293101391407E-2</v>
      </c>
      <c r="Q589" s="8">
        <v>1.0757373316629029</v>
      </c>
      <c r="R589" s="3">
        <v>8.8942551329293379E-3</v>
      </c>
      <c r="S589" s="33">
        <v>-1.3521754698139338E-2</v>
      </c>
      <c r="T589" s="5">
        <v>45.4</v>
      </c>
      <c r="U589" s="34">
        <v>0.19133301666666666</v>
      </c>
      <c r="V589">
        <v>106.77458226243699</v>
      </c>
    </row>
    <row r="590" spans="1:22" ht="16" x14ac:dyDescent="0.2">
      <c r="A590" s="2" t="s">
        <v>53</v>
      </c>
      <c r="B590" s="5">
        <v>2021</v>
      </c>
      <c r="C590" s="4">
        <v>3.5017673974234849</v>
      </c>
      <c r="D590" s="4">
        <v>-5.7054252114726669</v>
      </c>
      <c r="E590" s="9">
        <v>7.2404729970493242E-2</v>
      </c>
      <c r="F590" s="4">
        <v>0.96640000000000004</v>
      </c>
      <c r="G590" s="4">
        <v>182452.66</v>
      </c>
      <c r="H590" s="7">
        <v>-24.823620325468397</v>
      </c>
      <c r="I590" s="4">
        <v>24729.835905479998</v>
      </c>
      <c r="J590" s="4">
        <v>1.0933999999999999</v>
      </c>
      <c r="K590" s="4">
        <v>59.463500000000003</v>
      </c>
      <c r="L590" s="7">
        <v>1</v>
      </c>
      <c r="M590" s="4">
        <v>243.52780000000001</v>
      </c>
      <c r="N590" s="4">
        <v>10.887306973037814</v>
      </c>
      <c r="O590" s="4">
        <v>1.6922727270971643E-2</v>
      </c>
      <c r="P590" s="7">
        <v>0.14313074957426805</v>
      </c>
      <c r="Q590" s="4">
        <v>0.45431935489396735</v>
      </c>
      <c r="R590" s="3">
        <v>7.4939770859785313E-3</v>
      </c>
      <c r="S590" s="33">
        <v>-8.566975901496245E-3</v>
      </c>
      <c r="T590" s="5">
        <v>45.6</v>
      </c>
      <c r="U590" s="34">
        <v>8.6284741666666664E-2</v>
      </c>
      <c r="V590">
        <v>109.754323839417</v>
      </c>
    </row>
    <row r="591" spans="1:22" ht="16" x14ac:dyDescent="0.2">
      <c r="A591" s="2" t="s">
        <v>53</v>
      </c>
      <c r="B591" s="5">
        <v>2022</v>
      </c>
      <c r="C591" s="4">
        <v>3.6571714931253596</v>
      </c>
      <c r="D591" s="4">
        <v>3.2951239856988366</v>
      </c>
      <c r="E591" s="9">
        <v>-1.7761128246510244E-2</v>
      </c>
      <c r="F591" s="4">
        <v>0.97160000000000002</v>
      </c>
      <c r="G591" s="4">
        <v>121364.13</v>
      </c>
      <c r="H591" s="7">
        <v>-33.481852224023477</v>
      </c>
      <c r="I591" s="4">
        <v>26766.24364307625</v>
      </c>
      <c r="J591" s="4">
        <v>0.99690000000000001</v>
      </c>
      <c r="K591" s="4">
        <v>55.174599999999998</v>
      </c>
      <c r="L591" s="7">
        <v>1</v>
      </c>
      <c r="M591" s="4">
        <v>240.93459999999999</v>
      </c>
      <c r="N591" s="4">
        <v>10.92147756491881</v>
      </c>
      <c r="O591" s="4">
        <v>1.439720705487019E-2</v>
      </c>
      <c r="P591" s="7">
        <v>0.1566721648500031</v>
      </c>
      <c r="Q591" s="4">
        <v>0.31374996240714564</v>
      </c>
      <c r="R591" s="3">
        <v>6.9402906321171095E-3</v>
      </c>
      <c r="S591" s="33">
        <v>-0.15470779172132842</v>
      </c>
      <c r="T591" s="5">
        <v>46.3</v>
      </c>
      <c r="U591" s="34">
        <v>0.19251043333333331</v>
      </c>
      <c r="V591">
        <v>131.49814044376399</v>
      </c>
    </row>
    <row r="592" spans="1:22" x14ac:dyDescent="0.2">
      <c r="U592" s="34"/>
    </row>
    <row r="593" spans="1:22" ht="16" x14ac:dyDescent="0.2">
      <c r="A593" s="2" t="s">
        <v>54</v>
      </c>
      <c r="B593" s="5">
        <v>2014</v>
      </c>
      <c r="C593" s="12">
        <v>6.7837874020175644</v>
      </c>
      <c r="D593" s="4">
        <v>0.64089932358707535</v>
      </c>
      <c r="E593" s="6">
        <v>9.500390245481348E-3</v>
      </c>
      <c r="F593" s="11">
        <v>0.96440000000000003</v>
      </c>
      <c r="G593" s="8">
        <v>9856117</v>
      </c>
      <c r="H593" s="7">
        <v>-1.3363249113320663</v>
      </c>
      <c r="I593" s="4">
        <v>135109.82867116999</v>
      </c>
      <c r="J593" s="11">
        <v>1.1216999999999999</v>
      </c>
      <c r="K593" s="11">
        <v>58.716700000000003</v>
      </c>
      <c r="L593" s="7">
        <v>1</v>
      </c>
      <c r="M593" s="8">
        <v>46.0854</v>
      </c>
      <c r="N593" s="8">
        <v>11.206635316501709</v>
      </c>
      <c r="O593" s="8">
        <v>1.5173139036680473E-2</v>
      </c>
      <c r="P593" s="8">
        <v>6.0516442012517255E-2</v>
      </c>
      <c r="Q593" s="8">
        <v>0.19342802950146532</v>
      </c>
      <c r="R593" s="3">
        <v>6.7703015894532582E-3</v>
      </c>
      <c r="S593" s="33">
        <v>-6.0497682581134235E-2</v>
      </c>
      <c r="T593" s="5">
        <v>43</v>
      </c>
      <c r="U593" s="34">
        <v>0.10612881666666664</v>
      </c>
      <c r="V593">
        <v>105.944781034025</v>
      </c>
    </row>
    <row r="594" spans="1:22" ht="16" x14ac:dyDescent="0.2">
      <c r="A594" s="2" t="s">
        <v>54</v>
      </c>
      <c r="B594" s="5">
        <v>2015</v>
      </c>
      <c r="C594" s="12">
        <v>6.7725851743348588</v>
      </c>
      <c r="D594" s="4">
        <v>-0.21901290283154717</v>
      </c>
      <c r="E594" s="6">
        <v>1.9670774795512037E-2</v>
      </c>
      <c r="F594" s="11">
        <v>0.97040000000000004</v>
      </c>
      <c r="G594" s="8">
        <v>9100437.8356051221</v>
      </c>
      <c r="H594" s="7">
        <v>-7.6671082982768759</v>
      </c>
      <c r="I594" s="4">
        <v>101002.02690630002</v>
      </c>
      <c r="J594" s="11">
        <v>0.87829999999999997</v>
      </c>
      <c r="K594" s="11">
        <v>59.841999999999999</v>
      </c>
      <c r="L594" s="7">
        <v>1</v>
      </c>
      <c r="M594" s="8">
        <v>50.990900000000003</v>
      </c>
      <c r="N594" s="8">
        <v>11.109661018628712</v>
      </c>
      <c r="O594" s="8">
        <v>1.2913212643977136E-2</v>
      </c>
      <c r="P594" s="8">
        <v>3.9956705562490667E-2</v>
      </c>
      <c r="Q594" s="8">
        <v>0.21008102484166216</v>
      </c>
      <c r="R594" s="3">
        <v>6.7681494911343357E-3</v>
      </c>
      <c r="S594" s="33">
        <v>-9.2314533358446485E-2</v>
      </c>
      <c r="T594" s="5">
        <v>44.8</v>
      </c>
      <c r="U594" s="34">
        <v>0.16251885833333332</v>
      </c>
      <c r="V594">
        <v>121.044025684011</v>
      </c>
    </row>
    <row r="595" spans="1:22" ht="16" x14ac:dyDescent="0.2">
      <c r="A595" s="2" t="s">
        <v>54</v>
      </c>
      <c r="B595" s="5">
        <v>2016</v>
      </c>
      <c r="C595" s="12">
        <v>7.11345582507884</v>
      </c>
      <c r="D595" s="4">
        <v>1.613386476094939</v>
      </c>
      <c r="E595" s="6">
        <v>9.0590207615278955E-3</v>
      </c>
      <c r="F595" s="11">
        <v>0.94910000000000005</v>
      </c>
      <c r="G595" s="8">
        <v>12901017</v>
      </c>
      <c r="H595" s="7">
        <v>41.762596844794153</v>
      </c>
      <c r="I595" s="4">
        <v>98150.00502715999</v>
      </c>
      <c r="J595" s="11">
        <v>0.92400000000000004</v>
      </c>
      <c r="K595" s="11">
        <v>59.518700000000003</v>
      </c>
      <c r="L595" s="7">
        <v>1</v>
      </c>
      <c r="M595" s="8">
        <v>65.203299999999999</v>
      </c>
      <c r="N595" s="8">
        <v>11.193333175439983</v>
      </c>
      <c r="O595" s="8">
        <v>1.0968173425864447E-2</v>
      </c>
      <c r="P595" s="8">
        <v>5.183982533156295E-2</v>
      </c>
      <c r="Q595" s="8">
        <v>0.24834268242971783</v>
      </c>
      <c r="R595" s="3">
        <v>6.8844667236238853E-3</v>
      </c>
      <c r="S595" s="33">
        <v>0.12570431786897612</v>
      </c>
      <c r="T595" s="5">
        <v>44.6</v>
      </c>
      <c r="U595" s="34">
        <v>0.17348815833333334</v>
      </c>
      <c r="V595">
        <v>108.79290004683401</v>
      </c>
    </row>
    <row r="596" spans="1:22" ht="16" x14ac:dyDescent="0.2">
      <c r="A596" s="2" t="s">
        <v>54</v>
      </c>
      <c r="B596" s="5">
        <v>2017</v>
      </c>
      <c r="C596" s="12">
        <v>6.1863350183484718</v>
      </c>
      <c r="D596" s="4">
        <v>1.0799925254521503</v>
      </c>
      <c r="E596" s="6">
        <v>2.5622276254432829E-3</v>
      </c>
      <c r="F596" s="11">
        <v>0.95420000000000005</v>
      </c>
      <c r="G596" s="8">
        <v>13917054</v>
      </c>
      <c r="H596" s="7">
        <v>7.8756349208748428</v>
      </c>
      <c r="I596" s="4">
        <v>86147.060888119988</v>
      </c>
      <c r="J596" s="11">
        <v>0.94350000000000001</v>
      </c>
      <c r="K596" s="11">
        <v>64.622</v>
      </c>
      <c r="L596" s="7">
        <v>1</v>
      </c>
      <c r="M596" s="8">
        <v>113.133</v>
      </c>
      <c r="N596" s="8">
        <v>11.266956683795712</v>
      </c>
      <c r="O596" s="8">
        <v>9.456728126457396E-3</v>
      </c>
      <c r="P596" s="8">
        <v>9.8858817777432065E-2</v>
      </c>
      <c r="Q596" s="8">
        <v>0.29312531289178329</v>
      </c>
      <c r="R596" s="3">
        <v>7.0924911371868056E-3</v>
      </c>
      <c r="S596" s="33">
        <v>-1.4557344380430779E-2</v>
      </c>
      <c r="T596" s="5">
        <v>44</v>
      </c>
      <c r="U596" s="34">
        <v>6.9751091666666667E-2</v>
      </c>
      <c r="V596">
        <v>112.166141081871</v>
      </c>
    </row>
    <row r="597" spans="1:22" ht="16" x14ac:dyDescent="0.2">
      <c r="A597" s="2" t="s">
        <v>54</v>
      </c>
      <c r="B597" s="5">
        <v>2018</v>
      </c>
      <c r="C597" s="12">
        <v>5.7681209911761071</v>
      </c>
      <c r="D597" s="4">
        <v>0.24429007473243369</v>
      </c>
      <c r="E597" s="6">
        <v>1.4569202464189676E-2</v>
      </c>
      <c r="F597" s="11">
        <v>0.95040000000000002</v>
      </c>
      <c r="G597" s="8">
        <v>13013525</v>
      </c>
      <c r="H597" s="7">
        <v>-6.4922432578044171</v>
      </c>
      <c r="I597" s="4">
        <v>81662.269549680001</v>
      </c>
      <c r="J597" s="11">
        <v>0.90959999999999996</v>
      </c>
      <c r="K597" s="11">
        <v>61.439300000000003</v>
      </c>
      <c r="L597" s="7">
        <v>1</v>
      </c>
      <c r="M597" s="8">
        <v>156.14060000000001</v>
      </c>
      <c r="N597" s="8">
        <v>11.380984436759833</v>
      </c>
      <c r="O597" s="8">
        <v>8.8913684761208495E-3</v>
      </c>
      <c r="P597" s="8">
        <v>0.14285596334673156</v>
      </c>
      <c r="Q597" s="8">
        <v>0.21452652161693342</v>
      </c>
      <c r="R597" s="3">
        <v>7.131375601954767E-3</v>
      </c>
      <c r="S597" s="33">
        <v>2.2317420335519114E-2</v>
      </c>
      <c r="T597" s="5">
        <v>45.2</v>
      </c>
      <c r="U597" s="34">
        <v>9.823383333333334E-2</v>
      </c>
      <c r="V597">
        <v>110.42317934106001</v>
      </c>
    </row>
    <row r="598" spans="1:22" ht="16" x14ac:dyDescent="0.2">
      <c r="A598" s="2" t="s">
        <v>54</v>
      </c>
      <c r="B598" s="5">
        <v>2019</v>
      </c>
      <c r="C598" s="12">
        <v>4.6852651568090273</v>
      </c>
      <c r="D598" s="4">
        <v>1.3600126535496826</v>
      </c>
      <c r="E598" s="6">
        <v>2.0763064107047579E-3</v>
      </c>
      <c r="F598" s="11">
        <v>0.95130000000000003</v>
      </c>
      <c r="G598" s="8">
        <v>13157933</v>
      </c>
      <c r="H598" s="7">
        <v>1.1096762791019343</v>
      </c>
      <c r="I598" s="4">
        <v>68604.402292910003</v>
      </c>
      <c r="J598" s="11">
        <v>0.79730000000000001</v>
      </c>
      <c r="K598" s="11">
        <v>63.921300000000002</v>
      </c>
      <c r="L598" s="7">
        <v>1</v>
      </c>
      <c r="M598" s="8">
        <v>289.88709999999998</v>
      </c>
      <c r="N598" s="8">
        <v>11.454803244347115</v>
      </c>
      <c r="O598" s="8">
        <v>7.8034535216972558E-3</v>
      </c>
      <c r="P598" s="8">
        <v>0.18673475893578259</v>
      </c>
      <c r="Q598" s="8">
        <v>0.34157985831017651</v>
      </c>
      <c r="R598" s="3">
        <v>7.2890336165769391E-3</v>
      </c>
      <c r="S598" s="33">
        <v>1.5297507443604967E-2</v>
      </c>
      <c r="T598" s="5">
        <v>45.2</v>
      </c>
      <c r="U598" s="34">
        <v>0.16861495833333337</v>
      </c>
      <c r="V598">
        <v>109.009665900863</v>
      </c>
    </row>
    <row r="599" spans="1:22" ht="16" x14ac:dyDescent="0.2">
      <c r="A599" s="2" t="s">
        <v>54</v>
      </c>
      <c r="B599" s="5">
        <v>2020</v>
      </c>
      <c r="C599" s="4">
        <v>4.3992693738587674</v>
      </c>
      <c r="D599" s="4">
        <v>0.73447320016524364</v>
      </c>
      <c r="E599" s="13">
        <v>1.4427369142107627E-2</v>
      </c>
      <c r="F599" s="4">
        <v>0.9476</v>
      </c>
      <c r="G599" s="4">
        <v>13296297</v>
      </c>
      <c r="H599" s="7">
        <v>1.0515633420538013</v>
      </c>
      <c r="I599" s="4">
        <v>72462.247226390013</v>
      </c>
      <c r="J599" s="4">
        <v>0.76780000000000004</v>
      </c>
      <c r="K599" s="4">
        <v>65.084999999999994</v>
      </c>
      <c r="L599" s="7">
        <v>1</v>
      </c>
      <c r="M599" s="4">
        <v>301.03680000000003</v>
      </c>
      <c r="N599" s="4">
        <v>11.483984713326059</v>
      </c>
      <c r="O599" s="4">
        <v>6.935949444749092E-3</v>
      </c>
      <c r="P599" s="7">
        <v>0.15427280273097491</v>
      </c>
      <c r="Q599" s="4">
        <v>0.38138227432628957</v>
      </c>
      <c r="R599" s="3">
        <v>7.48670069014243E-3</v>
      </c>
      <c r="S599" s="33">
        <v>-1.3521754698139338E-2</v>
      </c>
      <c r="T599" s="5">
        <v>45.4</v>
      </c>
      <c r="U599" s="34">
        <v>0.19133301666666666</v>
      </c>
      <c r="V599">
        <v>106.77458226243699</v>
      </c>
    </row>
    <row r="600" spans="1:22" ht="16" x14ac:dyDescent="0.2">
      <c r="A600" s="2" t="s">
        <v>54</v>
      </c>
      <c r="B600" s="5">
        <v>2021</v>
      </c>
      <c r="C600" s="4">
        <v>4.2455049681957151</v>
      </c>
      <c r="D600" s="4">
        <v>-3.5279662451151532</v>
      </c>
      <c r="E600" s="13">
        <v>5.1507073990062713E-2</v>
      </c>
      <c r="F600" s="4">
        <v>0.94169999999999998</v>
      </c>
      <c r="G600" s="4">
        <v>16833420</v>
      </c>
      <c r="H600" s="7">
        <v>26.60231641937601</v>
      </c>
      <c r="I600" s="4">
        <v>91876.834365961418</v>
      </c>
      <c r="J600" s="4">
        <v>0.78849999999999998</v>
      </c>
      <c r="K600" s="4">
        <v>60.581800000000001</v>
      </c>
      <c r="L600" s="7">
        <v>1</v>
      </c>
      <c r="M600" s="4">
        <v>349.86110000000002</v>
      </c>
      <c r="N600" s="4">
        <v>11.607704399143124</v>
      </c>
      <c r="O600" s="4">
        <v>8.1338747114869971E-3</v>
      </c>
      <c r="P600" s="7">
        <v>0.22372934185222745</v>
      </c>
      <c r="Q600" s="4">
        <v>0.21341255112686852</v>
      </c>
      <c r="R600" s="3">
        <v>7.1536855055851622E-3</v>
      </c>
      <c r="S600" s="33">
        <v>-8.566975901496245E-3</v>
      </c>
      <c r="T600" s="5">
        <v>45.6</v>
      </c>
      <c r="U600" s="34">
        <v>8.6284741666666664E-2</v>
      </c>
      <c r="V600">
        <v>109.754323839417</v>
      </c>
    </row>
    <row r="601" spans="1:22" ht="16" x14ac:dyDescent="0.2">
      <c r="A601" s="2" t="s">
        <v>54</v>
      </c>
      <c r="B601" s="5">
        <v>2022</v>
      </c>
      <c r="C601" s="4">
        <v>4.3216954981969105</v>
      </c>
      <c r="D601" s="4">
        <v>0.72766999057663673</v>
      </c>
      <c r="E601" s="13">
        <v>1.1104194490364691E-2</v>
      </c>
      <c r="F601" s="4">
        <v>0.94679999999999997</v>
      </c>
      <c r="G601" s="4">
        <v>12726423</v>
      </c>
      <c r="H601" s="7">
        <v>-24.397876367369197</v>
      </c>
      <c r="I601" s="4">
        <v>80150.562864612293</v>
      </c>
      <c r="J601" s="4">
        <v>0.71519999999999995</v>
      </c>
      <c r="K601" s="4">
        <v>59.364100000000001</v>
      </c>
      <c r="L601" s="7">
        <v>1</v>
      </c>
      <c r="M601" s="4">
        <v>435.33120000000002</v>
      </c>
      <c r="N601" s="4">
        <v>11.606154147233553</v>
      </c>
      <c r="O601" s="4">
        <v>6.8986847160302702E-3</v>
      </c>
      <c r="P601" s="7">
        <v>0.29952553142195759</v>
      </c>
      <c r="Q601" s="4">
        <v>0.11342682898758751</v>
      </c>
      <c r="R601" s="3">
        <v>7.2862225389472976E-3</v>
      </c>
      <c r="S601" s="33">
        <v>-0.15470779172132842</v>
      </c>
      <c r="T601" s="5">
        <v>46.3</v>
      </c>
      <c r="U601" s="34">
        <v>0.19251043333333331</v>
      </c>
      <c r="V601">
        <v>131.49814044376399</v>
      </c>
    </row>
    <row r="602" spans="1:22" x14ac:dyDescent="0.2">
      <c r="U602" s="34"/>
    </row>
    <row r="603" spans="1:22" ht="16" x14ac:dyDescent="0.2">
      <c r="A603" s="2" t="s">
        <v>55</v>
      </c>
      <c r="B603" s="5">
        <v>2014</v>
      </c>
      <c r="C603" s="12">
        <v>3.0841066302508322</v>
      </c>
      <c r="D603" s="4">
        <v>0.26788709799404692</v>
      </c>
      <c r="E603" s="6">
        <v>1.2416186849834285E-2</v>
      </c>
      <c r="F603" s="11">
        <v>0.9708</v>
      </c>
      <c r="G603" s="8">
        <v>8864.1280000000006</v>
      </c>
      <c r="H603" s="7">
        <v>-9.9840138629116009</v>
      </c>
      <c r="I603" s="4">
        <v>136117.06715043</v>
      </c>
      <c r="J603" s="11">
        <v>1.0980000000000001</v>
      </c>
      <c r="K603" s="11">
        <v>67.575699999999998</v>
      </c>
      <c r="L603" s="7">
        <v>1</v>
      </c>
      <c r="M603" s="8">
        <v>38.792900000000003</v>
      </c>
      <c r="N603" s="8">
        <v>11.445508953588861</v>
      </c>
      <c r="O603" s="8">
        <v>1.449805447991276E-2</v>
      </c>
      <c r="P603" s="8">
        <v>9.0864052578588983E-2</v>
      </c>
      <c r="Q603" s="8">
        <v>0.18048482010897249</v>
      </c>
      <c r="R603" s="3">
        <v>6.8221912915137619E-3</v>
      </c>
      <c r="S603" s="33">
        <v>-6.0497682581134235E-2</v>
      </c>
      <c r="T603" s="5">
        <v>43</v>
      </c>
      <c r="U603" s="34">
        <v>0.10612881666666664</v>
      </c>
      <c r="V603">
        <v>105.944781034025</v>
      </c>
    </row>
    <row r="604" spans="1:22" ht="16" x14ac:dyDescent="0.2">
      <c r="A604" s="2" t="s">
        <v>55</v>
      </c>
      <c r="B604" s="5">
        <v>2015</v>
      </c>
      <c r="C604" s="12">
        <v>2.9313182296933356</v>
      </c>
      <c r="D604" s="4">
        <v>-0.1110387497374197</v>
      </c>
      <c r="E604" s="6">
        <v>1.6854707408241097E-2</v>
      </c>
      <c r="F604" s="11">
        <v>0.97689999999999999</v>
      </c>
      <c r="G604" s="8">
        <v>8776.5740000000005</v>
      </c>
      <c r="H604" s="7">
        <v>-0.98773393163997714</v>
      </c>
      <c r="I604" s="4">
        <v>97897.565116519996</v>
      </c>
      <c r="J604" s="11">
        <v>1.0998000000000001</v>
      </c>
      <c r="K604" s="11">
        <v>66.847300000000004</v>
      </c>
      <c r="L604" s="7">
        <v>1</v>
      </c>
      <c r="M604" s="8">
        <v>41.8536</v>
      </c>
      <c r="N604" s="8">
        <v>11.350351020990377</v>
      </c>
      <c r="O604" s="8">
        <v>1.193311202329567E-2</v>
      </c>
      <c r="P604" s="8">
        <v>9.2323560446497907E-2</v>
      </c>
      <c r="Q604" s="8">
        <v>0.17408201833259618</v>
      </c>
      <c r="R604" s="3">
        <v>6.77841678280495E-3</v>
      </c>
      <c r="S604" s="33">
        <v>-9.2314533358446485E-2</v>
      </c>
      <c r="T604" s="5">
        <v>44.8</v>
      </c>
      <c r="U604" s="34">
        <v>0.16251885833333332</v>
      </c>
      <c r="V604">
        <v>121.044025684011</v>
      </c>
    </row>
    <row r="605" spans="1:22" ht="16" x14ac:dyDescent="0.2">
      <c r="A605" s="2" t="s">
        <v>55</v>
      </c>
      <c r="B605" s="5">
        <v>2016</v>
      </c>
      <c r="C605" s="12">
        <v>2.9662031066916748</v>
      </c>
      <c r="D605" s="4">
        <v>2.4654819605338107</v>
      </c>
      <c r="E605" s="6">
        <v>-5.5141385629763253E-3</v>
      </c>
      <c r="F605" s="11">
        <v>0.96860000000000002</v>
      </c>
      <c r="G605" s="8">
        <v>9611.4279999999999</v>
      </c>
      <c r="H605" s="7">
        <v>9.5122994462303776</v>
      </c>
      <c r="I605" s="4">
        <v>93654.411023320019</v>
      </c>
      <c r="J605" s="11">
        <v>1.0176000000000001</v>
      </c>
      <c r="K605" s="11">
        <v>63.656599999999997</v>
      </c>
      <c r="L605" s="7">
        <v>1</v>
      </c>
      <c r="M605" s="8">
        <v>36.275399999999998</v>
      </c>
      <c r="N605" s="8">
        <v>11.438010712995633</v>
      </c>
      <c r="O605" s="8">
        <v>1.0439244907072988E-2</v>
      </c>
      <c r="P605" s="8">
        <v>0.11083115720428179</v>
      </c>
      <c r="Q605" s="8">
        <v>0.15866543435312827</v>
      </c>
      <c r="R605" s="3">
        <v>6.7968646925746596E-3</v>
      </c>
      <c r="S605" s="33">
        <v>0.12570431786897612</v>
      </c>
      <c r="T605" s="5">
        <v>44.6</v>
      </c>
      <c r="U605" s="34">
        <v>0.17348815833333334</v>
      </c>
      <c r="V605">
        <v>108.79290004683401</v>
      </c>
    </row>
    <row r="606" spans="1:22" ht="16" x14ac:dyDescent="0.2">
      <c r="A606" s="2" t="s">
        <v>55</v>
      </c>
      <c r="B606" s="5">
        <v>2017</v>
      </c>
      <c r="C606" s="12">
        <v>2.9434717494035443</v>
      </c>
      <c r="D606" s="4">
        <v>2.7340901355763032</v>
      </c>
      <c r="E606" s="6">
        <v>-1.7187404581316422E-2</v>
      </c>
      <c r="F606" s="11">
        <v>0.96919999999999995</v>
      </c>
      <c r="G606" s="8">
        <v>9001.4989999999998</v>
      </c>
      <c r="H606" s="7">
        <v>-6.3458728505275186</v>
      </c>
      <c r="I606" s="4">
        <v>81183.385748200002</v>
      </c>
      <c r="J606" s="11">
        <v>0.9728</v>
      </c>
      <c r="K606" s="11">
        <v>64.212699999999998</v>
      </c>
      <c r="L606" s="7">
        <v>1</v>
      </c>
      <c r="M606" s="8">
        <v>35.180300000000003</v>
      </c>
      <c r="N606" s="8">
        <v>11.428103536660352</v>
      </c>
      <c r="O606" s="8">
        <v>8.0374689756613424E-3</v>
      </c>
      <c r="P606" s="8">
        <v>9.0967318984521928E-2</v>
      </c>
      <c r="Q606" s="8">
        <v>0.1629766056120471</v>
      </c>
      <c r="R606" s="3">
        <v>7.3321592907409586E-3</v>
      </c>
      <c r="S606" s="33">
        <v>-1.4557344380430779E-2</v>
      </c>
      <c r="T606" s="5">
        <v>44</v>
      </c>
      <c r="U606" s="34">
        <v>6.9751091666666667E-2</v>
      </c>
      <c r="V606">
        <v>112.166141081871</v>
      </c>
    </row>
    <row r="607" spans="1:22" ht="16" x14ac:dyDescent="0.2">
      <c r="A607" s="2" t="s">
        <v>55</v>
      </c>
      <c r="B607" s="5">
        <v>2018</v>
      </c>
      <c r="C607" s="12">
        <v>3.0831260546136465</v>
      </c>
      <c r="D607" s="4">
        <v>0.30307868080621159</v>
      </c>
      <c r="E607" s="6">
        <v>9.2333301540155517E-3</v>
      </c>
      <c r="F607" s="11">
        <v>0.96750000000000003</v>
      </c>
      <c r="G607" s="8">
        <v>9649.8209999999999</v>
      </c>
      <c r="H607" s="7">
        <v>7.2023781816784078</v>
      </c>
      <c r="I607" s="4">
        <v>84175.737007500007</v>
      </c>
      <c r="J607" s="11">
        <v>0.99260000000000004</v>
      </c>
      <c r="K607" s="11">
        <v>60.47</v>
      </c>
      <c r="L607" s="7">
        <v>1</v>
      </c>
      <c r="M607" s="8">
        <v>30.810199999999998</v>
      </c>
      <c r="N607" s="8">
        <v>11.488582129725422</v>
      </c>
      <c r="O607" s="8">
        <v>7.2033520207371322E-3</v>
      </c>
      <c r="P607" s="8">
        <v>9.2332073365838305E-2</v>
      </c>
      <c r="Q607" s="8">
        <v>0.16787940030032242</v>
      </c>
      <c r="R607" s="3">
        <v>7.6698177188462974E-3</v>
      </c>
      <c r="S607" s="33">
        <v>2.2317420335519114E-2</v>
      </c>
      <c r="T607" s="5">
        <v>45.2</v>
      </c>
      <c r="U607" s="34">
        <v>9.823383333333334E-2</v>
      </c>
      <c r="V607">
        <v>110.42317934106001</v>
      </c>
    </row>
    <row r="608" spans="1:22" ht="16" x14ac:dyDescent="0.2">
      <c r="A608" s="2" t="s">
        <v>55</v>
      </c>
      <c r="B608" s="5">
        <v>2019</v>
      </c>
      <c r="C608" s="12">
        <v>2.3170682632029624</v>
      </c>
      <c r="D608" s="4">
        <v>0.38355425493630146</v>
      </c>
      <c r="E608" s="6">
        <v>1.3176975347541866E-2</v>
      </c>
      <c r="F608" s="11">
        <v>0.95950000000000002</v>
      </c>
      <c r="G608" s="8">
        <v>9633.7070000000003</v>
      </c>
      <c r="H608" s="7">
        <v>-0.16698755344787825</v>
      </c>
      <c r="I608" s="4">
        <v>83794.966254879997</v>
      </c>
      <c r="J608" s="11">
        <v>0.97240000000000004</v>
      </c>
      <c r="K608" s="11">
        <v>64.062399999999997</v>
      </c>
      <c r="L608" s="7">
        <v>1</v>
      </c>
      <c r="M608" s="8">
        <v>40.094099999999997</v>
      </c>
      <c r="N608" s="8">
        <v>11.44060023770518</v>
      </c>
      <c r="O608" s="8">
        <v>7.6812286250268003E-3</v>
      </c>
      <c r="P608" s="8">
        <v>9.8362895343012208E-2</v>
      </c>
      <c r="Q608" s="8">
        <v>0.31650417896570682</v>
      </c>
      <c r="R608" s="3">
        <v>8.0458502352747634E-3</v>
      </c>
      <c r="S608" s="33">
        <v>1.5297507443604967E-2</v>
      </c>
      <c r="T608" s="5">
        <v>45.2</v>
      </c>
      <c r="U608" s="34">
        <v>0.16861495833333337</v>
      </c>
      <c r="V608">
        <v>109.009665900863</v>
      </c>
    </row>
    <row r="609" spans="1:22" ht="16" x14ac:dyDescent="0.2">
      <c r="A609" s="2" t="s">
        <v>55</v>
      </c>
      <c r="B609" s="5">
        <v>2020</v>
      </c>
      <c r="C609" s="4">
        <v>2.4311089712481353</v>
      </c>
      <c r="D609" s="4">
        <v>-0.30907292602557956</v>
      </c>
      <c r="E609" s="13">
        <v>2.7395810581884429E-2</v>
      </c>
      <c r="F609" s="4">
        <v>0.95579999999999998</v>
      </c>
      <c r="G609" s="4">
        <v>11198.761</v>
      </c>
      <c r="H609" s="7">
        <v>16.245605144520173</v>
      </c>
      <c r="I609" s="4">
        <v>91392.739402320003</v>
      </c>
      <c r="J609" s="4">
        <v>0.98240000000000005</v>
      </c>
      <c r="K609" s="4">
        <v>59.381999999999998</v>
      </c>
      <c r="L609" s="7">
        <v>1</v>
      </c>
      <c r="M609" s="4">
        <v>44.8245</v>
      </c>
      <c r="N609" s="4">
        <v>11.496783165273984</v>
      </c>
      <c r="O609" s="4">
        <v>8.57542936312395E-3</v>
      </c>
      <c r="P609" s="7">
        <v>8.8225560401522615E-2</v>
      </c>
      <c r="Q609" s="4">
        <v>0.27881881093562916</v>
      </c>
      <c r="R609" s="3">
        <v>8.0551885267898405E-3</v>
      </c>
      <c r="S609" s="33">
        <v>-1.3521754698139338E-2</v>
      </c>
      <c r="T609" s="5">
        <v>45.4</v>
      </c>
      <c r="U609" s="34">
        <v>0.19133301666666666</v>
      </c>
      <c r="V609">
        <v>106.77458226243699</v>
      </c>
    </row>
    <row r="610" spans="1:22" ht="16" x14ac:dyDescent="0.2">
      <c r="A610" s="2" t="s">
        <v>55</v>
      </c>
      <c r="B610" s="5">
        <v>2021</v>
      </c>
      <c r="C610" s="4">
        <v>2.2330080972737147</v>
      </c>
      <c r="D610" s="4">
        <v>-3.7258412897427871</v>
      </c>
      <c r="E610" s="13">
        <v>5.3083141005195129E-2</v>
      </c>
      <c r="F610" s="4">
        <v>0.95889999999999997</v>
      </c>
      <c r="G610" s="4">
        <v>13173.526</v>
      </c>
      <c r="H610" s="7">
        <v>17.633781094176395</v>
      </c>
      <c r="I610" s="4">
        <v>90530.318211629987</v>
      </c>
      <c r="J610" s="4">
        <v>1.0308999999999999</v>
      </c>
      <c r="K610" s="4">
        <v>59.026800000000001</v>
      </c>
      <c r="L610" s="7">
        <v>1</v>
      </c>
      <c r="M610" s="4">
        <v>169.27510000000001</v>
      </c>
      <c r="N610" s="4">
        <v>11.59388340323091</v>
      </c>
      <c r="O610" s="4">
        <v>9.2646602355463247E-3</v>
      </c>
      <c r="P610" s="7">
        <v>0.14829193040851771</v>
      </c>
      <c r="Q610" s="4">
        <v>0.15805137916479323</v>
      </c>
      <c r="R610" s="3">
        <v>7.9073776270570176E-3</v>
      </c>
      <c r="S610" s="33">
        <v>-8.566975901496245E-3</v>
      </c>
      <c r="T610" s="5">
        <v>45.6</v>
      </c>
      <c r="U610" s="34">
        <v>8.6284741666666664E-2</v>
      </c>
      <c r="V610">
        <v>109.754323839417</v>
      </c>
    </row>
    <row r="611" spans="1:22" ht="16" x14ac:dyDescent="0.2">
      <c r="A611" s="2" t="s">
        <v>55</v>
      </c>
      <c r="B611" s="5">
        <v>2022</v>
      </c>
      <c r="C611" s="4">
        <v>-0.44521983699000517</v>
      </c>
      <c r="D611" s="4">
        <v>-2.5698203448230261</v>
      </c>
      <c r="E611" s="13">
        <v>4.3815742296974054E-2</v>
      </c>
      <c r="F611" s="4">
        <v>0.96150000000000002</v>
      </c>
      <c r="G611" s="4">
        <v>14246.72</v>
      </c>
      <c r="H611" s="7">
        <v>8.1465964389488406</v>
      </c>
      <c r="I611" s="4">
        <v>94843.273739349999</v>
      </c>
      <c r="J611" s="4">
        <v>0.89659999999999995</v>
      </c>
      <c r="K611" s="4">
        <v>81.212400000000002</v>
      </c>
      <c r="L611" s="7">
        <v>1</v>
      </c>
      <c r="M611" s="4">
        <v>163.6294</v>
      </c>
      <c r="N611" s="4">
        <v>11.515116383155242</v>
      </c>
      <c r="O611" s="4">
        <v>9.951996872183835E-3</v>
      </c>
      <c r="P611" s="7">
        <v>0.17543263010374088</v>
      </c>
      <c r="Q611" s="4">
        <v>-0.7155771250695091</v>
      </c>
      <c r="R611" s="3">
        <v>7.9094264219610154E-3</v>
      </c>
      <c r="S611" s="33">
        <v>-0.15470779172132842</v>
      </c>
      <c r="T611" s="5">
        <v>46.3</v>
      </c>
      <c r="U611" s="34">
        <v>0.19251043333333331</v>
      </c>
      <c r="V611">
        <v>131.49814044376399</v>
      </c>
    </row>
    <row r="612" spans="1:22" x14ac:dyDescent="0.2">
      <c r="U612" s="34"/>
    </row>
    <row r="613" spans="1:22" ht="16" x14ac:dyDescent="0.2">
      <c r="A613" s="2" t="s">
        <v>56</v>
      </c>
      <c r="B613" s="5">
        <v>2014</v>
      </c>
      <c r="C613" s="12">
        <v>5.8992463825411319</v>
      </c>
      <c r="D613" s="4">
        <v>1.3172461521781738</v>
      </c>
      <c r="E613" s="9">
        <v>2.1653349792865885E-3</v>
      </c>
      <c r="F613" s="11">
        <v>0.98340000000000005</v>
      </c>
      <c r="G613" s="8">
        <v>22644.83</v>
      </c>
      <c r="H613" s="7">
        <v>-42.162950756280324</v>
      </c>
      <c r="I613" s="4">
        <v>197817.03662400003</v>
      </c>
      <c r="J613" s="11">
        <v>1.2049000000000001</v>
      </c>
      <c r="K613" s="11">
        <v>70.015500000000003</v>
      </c>
      <c r="L613" s="7">
        <v>1</v>
      </c>
      <c r="M613" s="8">
        <v>47.458500000000001</v>
      </c>
      <c r="N613" s="8">
        <v>11.588380372456285</v>
      </c>
      <c r="O613" s="8">
        <v>8.0702710624066497E-3</v>
      </c>
      <c r="P613" s="8">
        <v>6.7033292512638926E-2</v>
      </c>
      <c r="Q613" s="8">
        <v>0.17940635580700537</v>
      </c>
      <c r="R613" s="3">
        <v>7.2309174864352661E-3</v>
      </c>
      <c r="S613" s="33">
        <v>-6.0497682581134235E-2</v>
      </c>
      <c r="T613" s="5">
        <v>43</v>
      </c>
      <c r="U613" s="34">
        <v>0.10612881666666664</v>
      </c>
      <c r="V613">
        <v>105.944781034025</v>
      </c>
    </row>
    <row r="614" spans="1:22" ht="16" x14ac:dyDescent="0.2">
      <c r="A614" s="2" t="s">
        <v>56</v>
      </c>
      <c r="B614" s="5">
        <v>2015</v>
      </c>
      <c r="C614" s="12">
        <v>5.9777772177907407</v>
      </c>
      <c r="D614" s="4">
        <v>0.52124762152020154</v>
      </c>
      <c r="E614" s="9">
        <v>1.2376350568157524E-2</v>
      </c>
      <c r="F614" s="11">
        <v>0.98640000000000005</v>
      </c>
      <c r="G614" s="8">
        <v>14285.67</v>
      </c>
      <c r="H614" s="7">
        <v>-36.914209556883407</v>
      </c>
      <c r="I614" s="4">
        <v>157698.59881986</v>
      </c>
      <c r="J614" s="11">
        <v>1.1984999999999999</v>
      </c>
      <c r="K614" s="11">
        <v>67.630700000000004</v>
      </c>
      <c r="L614" s="7">
        <v>1</v>
      </c>
      <c r="M614" s="8">
        <v>44.878500000000003</v>
      </c>
      <c r="N614" s="8">
        <v>11.486570448501912</v>
      </c>
      <c r="O614" s="8">
        <v>7.3121850298064409E-3</v>
      </c>
      <c r="P614" s="8">
        <v>9.8173568540612002E-2</v>
      </c>
      <c r="Q614" s="8">
        <v>0.148717328885171</v>
      </c>
      <c r="R614" s="3">
        <v>7.1147280596127616E-3</v>
      </c>
      <c r="S614" s="33">
        <v>-9.2314533358446485E-2</v>
      </c>
      <c r="T614" s="5">
        <v>44.8</v>
      </c>
      <c r="U614" s="34">
        <v>0.16251885833333332</v>
      </c>
      <c r="V614">
        <v>121.044025684011</v>
      </c>
    </row>
    <row r="615" spans="1:22" ht="16" x14ac:dyDescent="0.2">
      <c r="A615" s="2" t="s">
        <v>56</v>
      </c>
      <c r="B615" s="5">
        <v>2016</v>
      </c>
      <c r="C615" s="12">
        <v>5.964541139344159</v>
      </c>
      <c r="D615" s="4">
        <v>2.363627050235571</v>
      </c>
      <c r="E615" s="9">
        <v>2.461341526320875E-3</v>
      </c>
      <c r="F615" s="11">
        <v>0.97309999999999997</v>
      </c>
      <c r="G615" s="8">
        <v>12149.85</v>
      </c>
      <c r="H615" s="7">
        <v>-14.950786347437676</v>
      </c>
      <c r="I615" s="4">
        <v>150491.27523681</v>
      </c>
      <c r="J615" s="11">
        <v>1.1801999999999999</v>
      </c>
      <c r="K615" s="11">
        <v>67.872600000000006</v>
      </c>
      <c r="L615" s="7">
        <v>1</v>
      </c>
      <c r="M615" s="8">
        <v>62.887500000000003</v>
      </c>
      <c r="N615" s="8">
        <v>11.546173505053718</v>
      </c>
      <c r="O615" s="8">
        <v>7.2291373440219629E-3</v>
      </c>
      <c r="P615" s="8">
        <v>0.10248141758205834</v>
      </c>
      <c r="Q615" s="8">
        <v>0.1470081442099527</v>
      </c>
      <c r="R615" s="3">
        <v>7.2529120104058526E-3</v>
      </c>
      <c r="S615" s="33">
        <v>0.12570431786897612</v>
      </c>
      <c r="T615" s="5">
        <v>44.6</v>
      </c>
      <c r="U615" s="34">
        <v>0.17348815833333334</v>
      </c>
      <c r="V615">
        <v>108.79290004683401</v>
      </c>
    </row>
    <row r="616" spans="1:22" ht="16" x14ac:dyDescent="0.2">
      <c r="A616" s="2" t="s">
        <v>56</v>
      </c>
      <c r="B616" s="5">
        <v>2017</v>
      </c>
      <c r="C616" s="12">
        <v>5.6643343741233485</v>
      </c>
      <c r="D616" s="4">
        <v>2.2983652632671232</v>
      </c>
      <c r="E616" s="9">
        <v>-9.0483431366031233E-3</v>
      </c>
      <c r="F616" s="11">
        <v>0.97589999999999999</v>
      </c>
      <c r="G616" s="8">
        <v>8740.9699999999993</v>
      </c>
      <c r="H616" s="7">
        <v>-28.056971896772399</v>
      </c>
      <c r="I616" s="4">
        <v>141345.48700125999</v>
      </c>
      <c r="J616" s="11">
        <v>1.115</v>
      </c>
      <c r="K616" s="11">
        <v>72.932500000000005</v>
      </c>
      <c r="L616" s="7">
        <v>1</v>
      </c>
      <c r="M616" s="8">
        <v>157.61850000000001</v>
      </c>
      <c r="N616" s="8">
        <v>11.623258101423181</v>
      </c>
      <c r="O616" s="8">
        <v>6.641970998789248E-3</v>
      </c>
      <c r="P616" s="8">
        <v>0.13848571762199602</v>
      </c>
      <c r="Q616" s="8">
        <v>0.158017368505497</v>
      </c>
      <c r="R616" s="3">
        <v>7.2772618037495714E-3</v>
      </c>
      <c r="S616" s="33">
        <v>-1.4557344380430779E-2</v>
      </c>
      <c r="T616" s="5">
        <v>44</v>
      </c>
      <c r="U616" s="34">
        <v>6.9751091666666667E-2</v>
      </c>
      <c r="V616">
        <v>112.166141081871</v>
      </c>
    </row>
    <row r="617" spans="1:22" ht="16" x14ac:dyDescent="0.2">
      <c r="A617" s="2" t="s">
        <v>56</v>
      </c>
      <c r="B617" s="5">
        <v>2018</v>
      </c>
      <c r="C617" s="12">
        <v>4.303833049748496</v>
      </c>
      <c r="D617" s="4">
        <v>0.17073807932410129</v>
      </c>
      <c r="E617" s="9">
        <v>1.5771507776055654E-2</v>
      </c>
      <c r="F617" s="11">
        <v>0.97189999999999999</v>
      </c>
      <c r="G617" s="8">
        <v>6033</v>
      </c>
      <c r="H617" s="7">
        <v>-30.980200137970954</v>
      </c>
      <c r="I617" s="4">
        <v>139959.12655710001</v>
      </c>
      <c r="J617" s="11">
        <v>1.0391999999999999</v>
      </c>
      <c r="K617" s="11">
        <v>75.976500000000001</v>
      </c>
      <c r="L617" s="7">
        <v>1</v>
      </c>
      <c r="M617" s="8">
        <v>177.78370000000001</v>
      </c>
      <c r="N617" s="8">
        <v>11.714662229251758</v>
      </c>
      <c r="O617" s="8">
        <v>5.9100286891653215E-3</v>
      </c>
      <c r="P617" s="8">
        <v>0.1826606219178574</v>
      </c>
      <c r="Q617" s="8">
        <v>0.19854080776489019</v>
      </c>
      <c r="R617" s="3">
        <v>7.3459930846479548E-3</v>
      </c>
      <c r="S617" s="33">
        <v>2.2317420335519114E-2</v>
      </c>
      <c r="T617" s="5">
        <v>45.2</v>
      </c>
      <c r="U617" s="34">
        <v>9.823383333333334E-2</v>
      </c>
      <c r="V617">
        <v>110.42317934106001</v>
      </c>
    </row>
    <row r="618" spans="1:22" ht="16" x14ac:dyDescent="0.2">
      <c r="A618" s="2" t="s">
        <v>56</v>
      </c>
      <c r="B618" s="5">
        <v>2019</v>
      </c>
      <c r="C618" s="12">
        <v>4.7083129464223727</v>
      </c>
      <c r="D618" s="4">
        <v>0.94755689300174928</v>
      </c>
      <c r="E618" s="9">
        <v>6.0010924449492298E-3</v>
      </c>
      <c r="F618" s="11">
        <v>0.96809999999999996</v>
      </c>
      <c r="G618" s="8">
        <v>4634.51</v>
      </c>
      <c r="H618" s="7">
        <v>-23.1806729653572</v>
      </c>
      <c r="I618" s="4">
        <v>141025.73822601003</v>
      </c>
      <c r="J618" s="11">
        <v>1.0422</v>
      </c>
      <c r="K618" s="11">
        <v>70.974299999999999</v>
      </c>
      <c r="L618" s="7">
        <v>1</v>
      </c>
      <c r="M618" s="8">
        <v>158.4272</v>
      </c>
      <c r="N618" s="8">
        <v>11.687208115333219</v>
      </c>
      <c r="O618" s="8">
        <v>6.3282287403388076E-3</v>
      </c>
      <c r="P618" s="8">
        <v>0.19324894932529127</v>
      </c>
      <c r="Q618" s="8">
        <v>0.18075031618853937</v>
      </c>
      <c r="R618" s="3">
        <v>7.32656145823103E-3</v>
      </c>
      <c r="S618" s="33">
        <v>1.5297507443604967E-2</v>
      </c>
      <c r="T618" s="5">
        <v>45.2</v>
      </c>
      <c r="U618" s="34">
        <v>0.16861495833333337</v>
      </c>
      <c r="V618">
        <v>109.009665900863</v>
      </c>
    </row>
    <row r="619" spans="1:22" ht="16" x14ac:dyDescent="0.2">
      <c r="A619" s="2" t="s">
        <v>56</v>
      </c>
      <c r="B619" s="5">
        <v>2020</v>
      </c>
      <c r="C619" s="4">
        <v>3.9207197104824001</v>
      </c>
      <c r="D619" s="4">
        <v>0.29360445296541771</v>
      </c>
      <c r="E619" s="9">
        <v>2.1436143687870751E-2</v>
      </c>
      <c r="F619" s="4">
        <v>0.96940000000000004</v>
      </c>
      <c r="G619" s="4">
        <v>4869.5200000000004</v>
      </c>
      <c r="H619" s="7">
        <v>5.0708704911630402</v>
      </c>
      <c r="I619" s="4">
        <v>144411.69922696002</v>
      </c>
      <c r="J619" s="4">
        <v>1.0038</v>
      </c>
      <c r="K619" s="4">
        <v>69.522000000000006</v>
      </c>
      <c r="L619" s="7">
        <v>1</v>
      </c>
      <c r="M619" s="4">
        <v>202.2687</v>
      </c>
      <c r="N619" s="4">
        <v>11.748781412684524</v>
      </c>
      <c r="O619" s="4">
        <v>6.3054835275112809E-3</v>
      </c>
      <c r="P619" s="7">
        <v>0.19751705715456977</v>
      </c>
      <c r="Q619" s="4">
        <v>0.13860128690167925</v>
      </c>
      <c r="R619" s="3">
        <v>7.4540339520672433E-3</v>
      </c>
      <c r="S619" s="33">
        <v>-1.3521754698139338E-2</v>
      </c>
      <c r="T619" s="5">
        <v>45.4</v>
      </c>
      <c r="U619" s="34">
        <v>0.19133301666666666</v>
      </c>
      <c r="V619">
        <v>106.77458226243699</v>
      </c>
    </row>
    <row r="620" spans="1:22" ht="16" x14ac:dyDescent="0.2">
      <c r="A620" s="2" t="s">
        <v>56</v>
      </c>
      <c r="B620" s="5">
        <v>2021</v>
      </c>
      <c r="C620" s="4">
        <v>3.6115524462221287</v>
      </c>
      <c r="D620" s="4">
        <v>-0.8673713433091752</v>
      </c>
      <c r="E620" s="9">
        <v>2.630381127912499E-2</v>
      </c>
      <c r="F620" s="4">
        <v>0.97250000000000003</v>
      </c>
      <c r="G620" s="4">
        <v>4718.66</v>
      </c>
      <c r="H620" s="7">
        <v>-3.0980466247186698</v>
      </c>
      <c r="I620" s="4">
        <v>164444.66137945998</v>
      </c>
      <c r="J620" s="4">
        <v>0.94130000000000003</v>
      </c>
      <c r="K620" s="4">
        <v>67.631299999999996</v>
      </c>
      <c r="L620" s="7">
        <v>1</v>
      </c>
      <c r="M620" s="4">
        <v>469.97149999999999</v>
      </c>
      <c r="N620" s="4">
        <v>11.921037280123866</v>
      </c>
      <c r="O620" s="4">
        <v>6.9141595891934644E-3</v>
      </c>
      <c r="P620" s="7">
        <v>0.30546445423417218</v>
      </c>
      <c r="Q620" s="4">
        <v>5.4610960677661025E-2</v>
      </c>
      <c r="R620" s="3">
        <v>7.09429155191851E-3</v>
      </c>
      <c r="S620" s="33">
        <v>-8.566975901496245E-3</v>
      </c>
      <c r="T620" s="5">
        <v>45.6</v>
      </c>
      <c r="U620" s="34">
        <v>8.6284741666666664E-2</v>
      </c>
      <c r="V620">
        <v>109.754323839417</v>
      </c>
    </row>
    <row r="621" spans="1:22" ht="16" x14ac:dyDescent="0.2">
      <c r="A621" s="2" t="s">
        <v>56</v>
      </c>
      <c r="B621" s="5">
        <v>2022</v>
      </c>
      <c r="C621" s="4">
        <v>3.1635793179275336</v>
      </c>
      <c r="D621" s="4">
        <v>-1.3564224985774636</v>
      </c>
      <c r="E621" s="9">
        <v>3.2507727929625238E-2</v>
      </c>
      <c r="F621" s="4">
        <v>0.97289999999999999</v>
      </c>
      <c r="G621" s="4">
        <v>4209.16</v>
      </c>
      <c r="H621" s="7">
        <v>-10.797556933536216</v>
      </c>
      <c r="I621" s="4">
        <v>154649.20288393251</v>
      </c>
      <c r="J621" s="4">
        <v>0.90939999999999999</v>
      </c>
      <c r="K621" s="4">
        <v>67.628699999999995</v>
      </c>
      <c r="L621" s="7">
        <v>1</v>
      </c>
      <c r="M621" s="4">
        <v>520.10979999999995</v>
      </c>
      <c r="N621" s="4">
        <v>11.864656462320649</v>
      </c>
      <c r="O621" s="4">
        <v>7.8610152218257963E-3</v>
      </c>
      <c r="P621" s="7">
        <v>0.31333649582192186</v>
      </c>
      <c r="Q621" s="4">
        <v>4.8933395027947961E-2</v>
      </c>
      <c r="R621" s="3">
        <v>6.9826500597956241E-3</v>
      </c>
      <c r="S621" s="33">
        <v>-0.15470779172132842</v>
      </c>
      <c r="T621" s="5">
        <v>46.3</v>
      </c>
      <c r="U621" s="34">
        <v>0.19251043333333331</v>
      </c>
      <c r="V621">
        <v>131.49814044376399</v>
      </c>
    </row>
    <row r="622" spans="1:22" x14ac:dyDescent="0.2">
      <c r="U622" s="34"/>
    </row>
    <row r="623" spans="1:22" ht="16" x14ac:dyDescent="0.2">
      <c r="A623" s="2" t="s">
        <v>57</v>
      </c>
      <c r="B623" s="5">
        <v>2014</v>
      </c>
      <c r="C623" s="12">
        <v>2.239502736257116</v>
      </c>
      <c r="D623" s="4">
        <v>-0.26373786343463385</v>
      </c>
      <c r="E623" s="9">
        <v>1.9673237827695481E-2</v>
      </c>
      <c r="F623" s="11">
        <v>0.98460000000000003</v>
      </c>
      <c r="G623" s="8">
        <v>1132.08</v>
      </c>
      <c r="H623" s="7">
        <v>9.2551487193344641</v>
      </c>
      <c r="I623" s="4">
        <v>20392.359381411774</v>
      </c>
      <c r="J623" s="11">
        <v>0.92979999999999996</v>
      </c>
      <c r="K623" s="11">
        <v>72.778700000000001</v>
      </c>
      <c r="L623" s="7">
        <v>1</v>
      </c>
      <c r="M623" s="8">
        <v>30.104299999999999</v>
      </c>
      <c r="N623" s="8">
        <v>10.86372729958134</v>
      </c>
      <c r="O623" s="8">
        <v>6.5737021733741846E-3</v>
      </c>
      <c r="P623" s="8">
        <v>0.20327503987787388</v>
      </c>
      <c r="Q623" s="8">
        <v>0.1580572663677895</v>
      </c>
      <c r="R623" s="3">
        <v>5.1527780148428477E-3</v>
      </c>
      <c r="S623" s="33">
        <v>-6.0497682581134235E-2</v>
      </c>
      <c r="T623" s="5">
        <v>43</v>
      </c>
      <c r="U623" s="34">
        <v>0.10612881666666664</v>
      </c>
      <c r="V623">
        <v>105.944781034025</v>
      </c>
    </row>
    <row r="624" spans="1:22" ht="16" x14ac:dyDescent="0.2">
      <c r="A624" s="2" t="s">
        <v>57</v>
      </c>
      <c r="B624" s="5">
        <v>2015</v>
      </c>
      <c r="C624" s="12">
        <v>2.1823386007067009</v>
      </c>
      <c r="D624" s="4">
        <v>0.87827771635188889</v>
      </c>
      <c r="E624" s="9">
        <v>7.1546449071333475E-3</v>
      </c>
      <c r="F624" s="11">
        <v>0.98950000000000005</v>
      </c>
      <c r="G624" s="8">
        <v>1204.6500000000001</v>
      </c>
      <c r="H624" s="7">
        <v>6.4103243587025807</v>
      </c>
      <c r="I624" s="4">
        <v>28547.207641230001</v>
      </c>
      <c r="J624" s="11">
        <v>0.93089999999999995</v>
      </c>
      <c r="K624" s="11">
        <v>70.933099999999996</v>
      </c>
      <c r="L624" s="7">
        <v>1</v>
      </c>
      <c r="M624" s="8">
        <v>44.9831</v>
      </c>
      <c r="N624" s="8">
        <v>10.798858865214113</v>
      </c>
      <c r="O624" s="8">
        <v>5.8135070406301424E-3</v>
      </c>
      <c r="P624" s="8">
        <v>0.24128566626501224</v>
      </c>
      <c r="Q624" s="8">
        <v>0.1481675928267151</v>
      </c>
      <c r="R624" s="3">
        <v>4.7987698173176533E-3</v>
      </c>
      <c r="S624" s="33">
        <v>-9.2314533358446485E-2</v>
      </c>
      <c r="T624" s="5">
        <v>44.8</v>
      </c>
      <c r="U624" s="34">
        <v>0.16251885833333332</v>
      </c>
      <c r="V624">
        <v>121.044025684011</v>
      </c>
    </row>
    <row r="625" spans="1:22" ht="16" x14ac:dyDescent="0.2">
      <c r="A625" s="2" t="s">
        <v>57</v>
      </c>
      <c r="B625" s="5">
        <v>2016</v>
      </c>
      <c r="C625" s="12">
        <v>3.6160188608133961</v>
      </c>
      <c r="D625" s="4">
        <v>1.0874142446831603</v>
      </c>
      <c r="E625" s="9">
        <v>1.2633480499736196E-2</v>
      </c>
      <c r="F625" s="11">
        <v>0.98170000000000002</v>
      </c>
      <c r="G625" s="8">
        <v>1408.61</v>
      </c>
      <c r="H625" s="7">
        <v>16.931058813763318</v>
      </c>
      <c r="I625" s="4">
        <v>29907.358379860001</v>
      </c>
      <c r="J625" s="11">
        <v>0.87609999999999999</v>
      </c>
      <c r="K625" s="11">
        <v>71.4328</v>
      </c>
      <c r="L625" s="7">
        <v>1</v>
      </c>
      <c r="M625" s="8">
        <v>53.631999999999998</v>
      </c>
      <c r="N625" s="8">
        <v>10.861508496136405</v>
      </c>
      <c r="O625" s="8">
        <v>4.7391536264450454E-3</v>
      </c>
      <c r="P625" s="8">
        <v>0.22433056657113581</v>
      </c>
      <c r="Q625" s="8">
        <v>0.1844701706603106</v>
      </c>
      <c r="R625" s="3">
        <v>5.3105908223638146E-3</v>
      </c>
      <c r="S625" s="33">
        <v>0.12570431786897612</v>
      </c>
      <c r="T625" s="5">
        <v>44.6</v>
      </c>
      <c r="U625" s="34">
        <v>0.17348815833333334</v>
      </c>
      <c r="V625">
        <v>108.79290004683401</v>
      </c>
    </row>
    <row r="626" spans="1:22" ht="16" x14ac:dyDescent="0.2">
      <c r="A626" s="2" t="s">
        <v>57</v>
      </c>
      <c r="B626" s="5">
        <v>2017</v>
      </c>
      <c r="C626" s="12">
        <v>1.5919182394378069</v>
      </c>
      <c r="D626" s="4">
        <v>-1.237638904106704</v>
      </c>
      <c r="E626" s="9">
        <v>2.5106941263712077E-2</v>
      </c>
      <c r="F626" s="11">
        <v>0.98499999999999999</v>
      </c>
      <c r="G626" s="8">
        <v>1289.28</v>
      </c>
      <c r="H626" s="7">
        <v>-8.4714718765307602</v>
      </c>
      <c r="I626" s="4">
        <v>27072.571952889997</v>
      </c>
      <c r="J626" s="11">
        <v>0.82310000000000005</v>
      </c>
      <c r="K626" s="11">
        <v>77.159499999999994</v>
      </c>
      <c r="L626" s="7">
        <v>1</v>
      </c>
      <c r="M626" s="8">
        <v>82.249600000000001</v>
      </c>
      <c r="N626" s="8">
        <v>10.898823749772186</v>
      </c>
      <c r="O626" s="8">
        <v>3.777397044684873E-3</v>
      </c>
      <c r="P626" s="8">
        <v>0.18935304443628118</v>
      </c>
      <c r="Q626" s="8">
        <v>0.239831563796324</v>
      </c>
      <c r="R626" s="3">
        <v>5.7389207303100544E-3</v>
      </c>
      <c r="S626" s="33">
        <v>-1.4557344380430779E-2</v>
      </c>
      <c r="T626" s="5">
        <v>44</v>
      </c>
      <c r="U626" s="34">
        <v>6.9751091666666667E-2</v>
      </c>
      <c r="V626">
        <v>112.166141081871</v>
      </c>
    </row>
    <row r="627" spans="1:22" ht="16" x14ac:dyDescent="0.2">
      <c r="A627" s="2" t="s">
        <v>57</v>
      </c>
      <c r="B627" s="5">
        <v>2018</v>
      </c>
      <c r="C627" s="4">
        <v>1.6266715514268089</v>
      </c>
      <c r="D627" s="4">
        <v>-0.60818388511480626</v>
      </c>
      <c r="E627" s="9">
        <v>2.0808539621928492E-2</v>
      </c>
      <c r="F627" s="4">
        <v>0.98380000000000001</v>
      </c>
      <c r="G627" s="4">
        <v>1065.1600000000001</v>
      </c>
      <c r="H627" s="7">
        <v>-17.383345743360628</v>
      </c>
      <c r="I627" s="4">
        <v>25999.26531812</v>
      </c>
      <c r="J627" s="4">
        <v>0.81820000000000004</v>
      </c>
      <c r="K627" s="4">
        <v>76.180899999999994</v>
      </c>
      <c r="L627" s="7">
        <v>1</v>
      </c>
      <c r="M627" s="4">
        <v>61.554299999999998</v>
      </c>
      <c r="N627" s="4">
        <v>10.94627306857174</v>
      </c>
      <c r="O627" s="4">
        <v>3.7164721982831947E-3</v>
      </c>
      <c r="P627" s="7">
        <v>0.234962787803949</v>
      </c>
      <c r="Q627" s="4">
        <v>0.2391618468068345</v>
      </c>
      <c r="R627" s="3">
        <v>5.7608197787474644E-3</v>
      </c>
      <c r="S627" s="33">
        <v>2.2317420335519114E-2</v>
      </c>
      <c r="T627" s="5">
        <v>45.2</v>
      </c>
      <c r="U627" s="34">
        <v>9.823383333333334E-2</v>
      </c>
      <c r="V627">
        <v>110.42317934106001</v>
      </c>
    </row>
    <row r="628" spans="1:22" ht="16" x14ac:dyDescent="0.2">
      <c r="A628" s="2" t="s">
        <v>57</v>
      </c>
      <c r="B628" s="5">
        <v>2019</v>
      </c>
      <c r="C628" s="4">
        <v>0.97735536225981257</v>
      </c>
      <c r="D628" s="4">
        <v>0.6213132028060504</v>
      </c>
      <c r="E628" s="9">
        <v>1.014404037236075E-2</v>
      </c>
      <c r="F628" s="4">
        <v>0.97960000000000003</v>
      </c>
      <c r="G628" s="4">
        <v>1904.92</v>
      </c>
      <c r="H628" s="7">
        <v>78.838859889594048</v>
      </c>
      <c r="I628" s="4">
        <v>28502.33576708</v>
      </c>
      <c r="J628" s="4">
        <v>0.8256</v>
      </c>
      <c r="K628" s="4">
        <v>74.8065</v>
      </c>
      <c r="L628" s="7">
        <v>1</v>
      </c>
      <c r="M628" s="4">
        <v>6.8155999999999999</v>
      </c>
      <c r="N628" s="4">
        <v>10.884726297944397</v>
      </c>
      <c r="O628" s="4">
        <v>4.4732642539325965E-3</v>
      </c>
      <c r="P628" s="7">
        <v>0.26933656114129984</v>
      </c>
      <c r="Q628" s="4">
        <v>0.37014774612077955</v>
      </c>
      <c r="R628" s="3">
        <v>6.2955970636846791E-3</v>
      </c>
      <c r="S628" s="33">
        <v>1.5297507443604967E-2</v>
      </c>
      <c r="T628" s="5">
        <v>45.2</v>
      </c>
      <c r="U628" s="34">
        <v>0.16861495833333337</v>
      </c>
      <c r="V628">
        <v>109.009665900863</v>
      </c>
    </row>
    <row r="629" spans="1:22" ht="16" x14ac:dyDescent="0.2">
      <c r="A629" s="2" t="s">
        <v>57</v>
      </c>
      <c r="B629" s="5">
        <v>2020</v>
      </c>
      <c r="C629" s="4">
        <v>0.81262409436957528</v>
      </c>
      <c r="D629" s="4">
        <v>-0.30512479867218345</v>
      </c>
      <c r="E629" s="9">
        <v>2.7902248627414937E-2</v>
      </c>
      <c r="F629" s="4">
        <v>0.97960000000000003</v>
      </c>
      <c r="G629" s="4">
        <v>2329.2199999999998</v>
      </c>
      <c r="H629" s="7">
        <v>22.273901266194891</v>
      </c>
      <c r="I629" s="4">
        <v>31254.5067882</v>
      </c>
      <c r="J629" s="4">
        <v>0.80500000000000005</v>
      </c>
      <c r="K629" s="4">
        <v>76.236800000000002</v>
      </c>
      <c r="L629" s="7">
        <v>1</v>
      </c>
      <c r="M629" s="4">
        <v>1.7363</v>
      </c>
      <c r="N629" s="4">
        <v>10.930630613218801</v>
      </c>
      <c r="O629" s="4">
        <v>4.7746762804946477E-3</v>
      </c>
      <c r="P629" s="7">
        <v>0.26626569590091675</v>
      </c>
      <c r="Q629" s="4">
        <v>0.15365370582716567</v>
      </c>
      <c r="R629" s="3">
        <v>6.6706157773986623E-3</v>
      </c>
      <c r="S629" s="33">
        <v>-1.3521754698139338E-2</v>
      </c>
      <c r="T629" s="5">
        <v>45.4</v>
      </c>
      <c r="U629" s="34">
        <v>0.19133301666666666</v>
      </c>
      <c r="V629">
        <v>106.77458226243699</v>
      </c>
    </row>
    <row r="630" spans="1:22" ht="16" x14ac:dyDescent="0.2">
      <c r="A630" s="2" t="s">
        <v>57</v>
      </c>
      <c r="B630" s="5">
        <v>2021</v>
      </c>
      <c r="C630" s="4">
        <v>-0.46837252313546623</v>
      </c>
      <c r="D630" s="4">
        <v>-0.31398084102508261</v>
      </c>
      <c r="E630" s="9">
        <v>1.8074072352385083E-2</v>
      </c>
      <c r="F630" s="4">
        <v>0.98099999999999998</v>
      </c>
      <c r="G630" s="4">
        <v>3295.7730000000001</v>
      </c>
      <c r="H630" s="7">
        <v>41.496853023759044</v>
      </c>
      <c r="I630" s="4">
        <v>0.41496853023759045</v>
      </c>
      <c r="J630" s="4">
        <v>0.7429</v>
      </c>
      <c r="K630" s="4">
        <v>83.572800000000001</v>
      </c>
      <c r="L630" s="7">
        <v>1</v>
      </c>
      <c r="M630" s="4">
        <v>221.45609999999999</v>
      </c>
      <c r="N630" s="4">
        <v>11.025295121970494</v>
      </c>
      <c r="O630" s="4">
        <v>7.4777325887047533E-3</v>
      </c>
      <c r="P630" s="7">
        <v>0.3441816351466877</v>
      </c>
      <c r="Q630" s="4">
        <v>-8.7638804908873394E-2</v>
      </c>
      <c r="R630" s="3">
        <v>6.1755817954812766E-3</v>
      </c>
      <c r="S630" s="33">
        <v>-8.566975901496245E-3</v>
      </c>
      <c r="T630" s="5">
        <v>45.6</v>
      </c>
      <c r="U630" s="34">
        <v>8.6284741666666664E-2</v>
      </c>
      <c r="V630">
        <v>109.754323839417</v>
      </c>
    </row>
    <row r="631" spans="1:22" ht="16" x14ac:dyDescent="0.2">
      <c r="A631" s="2" t="s">
        <v>57</v>
      </c>
      <c r="B631" s="5">
        <v>2022</v>
      </c>
      <c r="C631" s="4">
        <v>1.3016466001934526</v>
      </c>
      <c r="D631" s="4">
        <v>-2.4955824427165318E-2</v>
      </c>
      <c r="E631" s="9">
        <v>1.5320619852170677E-2</v>
      </c>
      <c r="F631" s="4">
        <v>0.98019999999999996</v>
      </c>
      <c r="G631" s="4">
        <v>3627.41</v>
      </c>
      <c r="H631" s="7">
        <v>10.062495202187764</v>
      </c>
      <c r="I631" s="4">
        <v>10.062495202187762</v>
      </c>
      <c r="J631" s="4">
        <v>0.78080000000000005</v>
      </c>
      <c r="K631" s="4">
        <v>73.960999999999999</v>
      </c>
      <c r="L631" s="7">
        <v>1</v>
      </c>
      <c r="M631" s="4">
        <v>355.89859999999999</v>
      </c>
      <c r="N631" s="4">
        <v>10.980172722774055</v>
      </c>
      <c r="O631" s="4">
        <v>7.4646257119752981E-3</v>
      </c>
      <c r="P631" s="7">
        <v>0.39064243543961763</v>
      </c>
      <c r="Q631" s="4">
        <v>2.5146293923885409E-2</v>
      </c>
      <c r="R631" s="3">
        <v>5.910013901682964E-3</v>
      </c>
      <c r="S631" s="33">
        <v>-0.15470779172132842</v>
      </c>
      <c r="T631" s="5">
        <v>46.3</v>
      </c>
      <c r="U631" s="34">
        <v>0.19251043333333331</v>
      </c>
      <c r="V631">
        <v>131.49814044376399</v>
      </c>
    </row>
    <row r="632" spans="1:22" x14ac:dyDescent="0.2">
      <c r="C632" s="4"/>
    </row>
    <row r="633" spans="1:22" ht="16" x14ac:dyDescent="0.2">
      <c r="A633" s="2" t="s">
        <v>58</v>
      </c>
      <c r="B633" s="5">
        <v>2014</v>
      </c>
      <c r="C633" s="12">
        <v>1.4842398106153232</v>
      </c>
      <c r="D633" s="4">
        <v>-0.14838504836291322</v>
      </c>
      <c r="E633" s="13">
        <v>1.8823631035266783E-2</v>
      </c>
      <c r="F633" s="11">
        <v>0.96879999999999999</v>
      </c>
      <c r="G633" s="8">
        <v>125.75</v>
      </c>
      <c r="H633" s="7">
        <v>-30.48645660585959</v>
      </c>
      <c r="I633" s="32">
        <v>17080.308395331231</v>
      </c>
      <c r="J633" s="11">
        <v>1.2664</v>
      </c>
      <c r="K633" s="11">
        <v>74.354399999999998</v>
      </c>
      <c r="L633" s="7">
        <v>1</v>
      </c>
      <c r="M633" s="8">
        <v>38.6492</v>
      </c>
      <c r="N633" s="8">
        <v>9.582114678613074</v>
      </c>
      <c r="O633" s="8">
        <v>9.2401621609528948E-3</v>
      </c>
      <c r="P633" s="8">
        <v>0.12288444417666947</v>
      </c>
      <c r="Q633" s="8">
        <v>0.34116417689974093</v>
      </c>
      <c r="R633" s="3">
        <v>7.4921887499146619E-3</v>
      </c>
      <c r="S633" s="33">
        <v>-6.0497682581134235E-2</v>
      </c>
      <c r="T633" s="5">
        <v>43</v>
      </c>
      <c r="U633" s="34">
        <v>0.10612881666666664</v>
      </c>
      <c r="V633">
        <v>105.944781034025</v>
      </c>
    </row>
    <row r="634" spans="1:22" ht="16" x14ac:dyDescent="0.2">
      <c r="A634" s="2" t="s">
        <v>58</v>
      </c>
      <c r="B634" s="5">
        <v>2015</v>
      </c>
      <c r="C634" s="12">
        <v>2.1285554288341917</v>
      </c>
      <c r="D634" s="4">
        <v>0.70128063437974364</v>
      </c>
      <c r="E634" s="13">
        <v>1.2731830113248375E-2</v>
      </c>
      <c r="F634" s="11">
        <v>0.96830000000000005</v>
      </c>
      <c r="G634" s="8">
        <v>390.83</v>
      </c>
      <c r="H634" s="7">
        <v>210.79920477137176</v>
      </c>
      <c r="I634" s="32">
        <v>24494.952164079335</v>
      </c>
      <c r="J634" s="11">
        <v>1.2613000000000001</v>
      </c>
      <c r="K634" s="11">
        <v>75.676500000000004</v>
      </c>
      <c r="L634" s="7">
        <v>1</v>
      </c>
      <c r="M634" s="8">
        <v>37.023200000000003</v>
      </c>
      <c r="N634" s="8">
        <v>9.493370119125693</v>
      </c>
      <c r="O634" s="8">
        <v>9.4546538670864811E-3</v>
      </c>
      <c r="P634" s="8">
        <v>0.1518749305275422</v>
      </c>
      <c r="Q634" s="8">
        <v>0.27160409006481934</v>
      </c>
      <c r="R634" s="3">
        <v>7.1266054355533471E-3</v>
      </c>
      <c r="S634" s="33">
        <v>-9.2314533358446485E-2</v>
      </c>
      <c r="T634" s="5">
        <v>44.8</v>
      </c>
      <c r="U634" s="34">
        <v>0.16251885833333332</v>
      </c>
      <c r="V634">
        <v>121.044025684011</v>
      </c>
    </row>
    <row r="635" spans="1:22" ht="16" x14ac:dyDescent="0.2">
      <c r="A635" s="2" t="s">
        <v>58</v>
      </c>
      <c r="B635" s="5">
        <v>2016</v>
      </c>
      <c r="C635" s="12">
        <v>2.1109825148055918</v>
      </c>
      <c r="D635" s="4">
        <v>0.98346093194158424</v>
      </c>
      <c r="E635" s="13">
        <v>1.6841228480042183E-2</v>
      </c>
      <c r="F635" s="11">
        <v>0.96179999999999999</v>
      </c>
      <c r="G635" s="8">
        <v>372.9</v>
      </c>
      <c r="H635" s="7">
        <v>-4.5876723895299767</v>
      </c>
      <c r="I635" s="4">
        <v>24292.726897739998</v>
      </c>
      <c r="J635" s="11">
        <v>1.2121999999999999</v>
      </c>
      <c r="K635" s="11">
        <v>73.941699999999997</v>
      </c>
      <c r="L635" s="7">
        <v>1</v>
      </c>
      <c r="M635" s="8">
        <v>44.7211</v>
      </c>
      <c r="N635" s="8">
        <v>9.487243221788896</v>
      </c>
      <c r="O635" s="8">
        <v>8.3987046147347977E-3</v>
      </c>
      <c r="P635" s="8">
        <v>0.18461178478967805</v>
      </c>
      <c r="Q635" s="8">
        <v>0.212783087908364</v>
      </c>
      <c r="R635" s="3">
        <v>7.8689325095855859E-3</v>
      </c>
      <c r="S635" s="33">
        <v>0.12570431786897612</v>
      </c>
      <c r="T635" s="5">
        <v>44.6</v>
      </c>
      <c r="U635" s="34">
        <v>0.17348815833333334</v>
      </c>
      <c r="V635">
        <v>108.79290004683401</v>
      </c>
    </row>
    <row r="636" spans="1:22" ht="16" x14ac:dyDescent="0.2">
      <c r="A636" s="2" t="s">
        <v>58</v>
      </c>
      <c r="B636" s="5">
        <v>2017</v>
      </c>
      <c r="C636" s="12">
        <v>1.9255319534257078</v>
      </c>
      <c r="D636" s="4">
        <v>-10.340309678171712</v>
      </c>
      <c r="E636" s="13">
        <v>0.12037906189495109</v>
      </c>
      <c r="F636" s="11">
        <v>0.96989999999999998</v>
      </c>
      <c r="G636" s="8">
        <v>44.75</v>
      </c>
      <c r="H636" s="7">
        <v>-87.999463663180478</v>
      </c>
      <c r="I636" s="4">
        <v>20611.80904091</v>
      </c>
      <c r="J636" s="11">
        <v>1.1812</v>
      </c>
      <c r="K636" s="11">
        <v>80.217200000000005</v>
      </c>
      <c r="L636" s="7">
        <v>1</v>
      </c>
      <c r="M636" s="8">
        <v>84.328699999999998</v>
      </c>
      <c r="N636" s="8">
        <v>9.5669644676221619</v>
      </c>
      <c r="O636" s="8">
        <v>7.2617627544312099E-3</v>
      </c>
      <c r="P636" s="8">
        <v>0.19724902952140405</v>
      </c>
      <c r="Q636" s="8">
        <v>0.20830072834527177</v>
      </c>
      <c r="R636" s="3">
        <v>7.4766686757961557E-3</v>
      </c>
      <c r="S636" s="33">
        <v>-1.4557344380430779E-2</v>
      </c>
      <c r="T636" s="5">
        <v>44</v>
      </c>
      <c r="U636" s="34">
        <v>6.9751091666666667E-2</v>
      </c>
      <c r="V636">
        <v>112.166141081871</v>
      </c>
    </row>
    <row r="637" spans="1:22" ht="16" x14ac:dyDescent="0.2">
      <c r="A637" s="2" t="s">
        <v>58</v>
      </c>
      <c r="B637" s="5">
        <v>2018</v>
      </c>
      <c r="C637" s="4">
        <v>1.6161443372597029</v>
      </c>
      <c r="D637" s="4">
        <v>-0.20562242845727211</v>
      </c>
      <c r="E637" s="13">
        <v>2.4139465340980108E-2</v>
      </c>
      <c r="F637" s="4">
        <v>0.96409999999999996</v>
      </c>
      <c r="G637" s="4">
        <v>64.23</v>
      </c>
      <c r="H637" s="7">
        <v>43.53072625698325</v>
      </c>
      <c r="I637" s="4">
        <v>19772.896700900001</v>
      </c>
      <c r="J637" s="4">
        <v>1.1261000000000001</v>
      </c>
      <c r="K637" s="4">
        <v>81.361400000000003</v>
      </c>
      <c r="L637" s="7">
        <v>1</v>
      </c>
      <c r="M637" s="4">
        <v>82.068600000000004</v>
      </c>
      <c r="N637" s="4">
        <v>9.5621164058259946</v>
      </c>
      <c r="O637" s="4">
        <v>6.2998738310752304E-3</v>
      </c>
      <c r="P637" s="7">
        <v>0.22574017644045213</v>
      </c>
      <c r="Q637" s="4">
        <v>0.18219964591227228</v>
      </c>
      <c r="R637" s="3">
        <v>8.1155887313664726E-3</v>
      </c>
      <c r="S637" s="33">
        <v>2.2317420335519114E-2</v>
      </c>
      <c r="T637" s="5">
        <v>45.2</v>
      </c>
      <c r="U637" s="34">
        <v>9.823383333333334E-2</v>
      </c>
      <c r="V637">
        <v>110.42317934106001</v>
      </c>
    </row>
    <row r="638" spans="1:22" ht="16" x14ac:dyDescent="0.2">
      <c r="A638" s="2" t="s">
        <v>58</v>
      </c>
      <c r="B638" s="5">
        <v>2019</v>
      </c>
      <c r="C638" s="4">
        <v>1.6731562442296677</v>
      </c>
      <c r="D638" s="4">
        <v>2.7402447364950455</v>
      </c>
      <c r="E638" s="13">
        <v>-9.7127105361574494E-3</v>
      </c>
      <c r="F638" s="4">
        <v>0.9597</v>
      </c>
      <c r="G638" s="4">
        <v>45.21</v>
      </c>
      <c r="H638" s="7">
        <v>-29.612330686595051</v>
      </c>
      <c r="I638" s="4">
        <v>15641.767267560001</v>
      </c>
      <c r="J638" s="4">
        <v>1.048</v>
      </c>
      <c r="K638" s="4">
        <v>83.537700000000001</v>
      </c>
      <c r="L638" s="7">
        <v>1</v>
      </c>
      <c r="M638" s="4">
        <v>117.92359999999999</v>
      </c>
      <c r="N638" s="4">
        <v>9.6129178615908266</v>
      </c>
      <c r="O638" s="4">
        <v>4.6659569448688426E-3</v>
      </c>
      <c r="P638" s="7">
        <v>0.13880022396846931</v>
      </c>
      <c r="Q638" s="4">
        <v>0.18101697196627634</v>
      </c>
      <c r="R638" s="3">
        <v>7.7455152388537273E-3</v>
      </c>
      <c r="S638" s="33">
        <v>1.5297507443604967E-2</v>
      </c>
      <c r="T638" s="5">
        <v>45.2</v>
      </c>
      <c r="U638" s="34">
        <v>0.16861495833333337</v>
      </c>
      <c r="V638">
        <v>109.009665900863</v>
      </c>
    </row>
    <row r="639" spans="1:22" ht="16" x14ac:dyDescent="0.2">
      <c r="A639" s="2" t="s">
        <v>58</v>
      </c>
      <c r="B639" s="5">
        <v>2020</v>
      </c>
      <c r="C639" s="4">
        <v>-1.5098272089275648</v>
      </c>
      <c r="D639" s="4">
        <v>8.1443323355127023E-2</v>
      </c>
      <c r="E639" s="13">
        <v>2.6479385597719323E-2</v>
      </c>
      <c r="F639" s="4">
        <v>0.96260000000000001</v>
      </c>
      <c r="G639" s="4">
        <v>119.85</v>
      </c>
      <c r="H639" s="7">
        <v>165.09621765096213</v>
      </c>
      <c r="I639" s="4">
        <v>17450.312360519998</v>
      </c>
      <c r="J639" s="4">
        <v>1.0056</v>
      </c>
      <c r="K639" s="4">
        <v>114.7657</v>
      </c>
      <c r="L639" s="7">
        <v>0</v>
      </c>
      <c r="M639" s="4">
        <v>143.21430000000001</v>
      </c>
      <c r="N639" s="4">
        <v>9.6034645362583628</v>
      </c>
      <c r="O639" s="4">
        <v>6.1124602297106109E-3</v>
      </c>
      <c r="P639" s="7">
        <v>0.22140317353980421</v>
      </c>
      <c r="Q639" s="4">
        <v>-0.22345610463322843</v>
      </c>
      <c r="R639" s="3">
        <v>8.3282590303539513E-3</v>
      </c>
      <c r="S639" s="33">
        <v>-1.3521754698139338E-2</v>
      </c>
      <c r="T639" s="5">
        <v>45.4</v>
      </c>
      <c r="U639" s="34">
        <v>0.19133301666666666</v>
      </c>
      <c r="V639">
        <v>106.77458226243699</v>
      </c>
    </row>
    <row r="640" spans="1:22" ht="16" x14ac:dyDescent="0.2">
      <c r="A640" s="2" t="s">
        <v>58</v>
      </c>
      <c r="B640" s="5">
        <v>2021</v>
      </c>
      <c r="C640" s="4">
        <v>1.3823347044905154</v>
      </c>
      <c r="D640" s="4">
        <v>-0.94243893459451356</v>
      </c>
      <c r="E640" s="13">
        <v>2.3684500626037032E-2</v>
      </c>
      <c r="F640" s="4">
        <v>0.96319999999999995</v>
      </c>
      <c r="G640" s="4">
        <v>52.79</v>
      </c>
      <c r="H640" s="7">
        <v>-55.95327492699208</v>
      </c>
      <c r="I640" s="4">
        <v>-55.953274926992073</v>
      </c>
      <c r="J640" s="4">
        <v>1.0121</v>
      </c>
      <c r="K640" s="4">
        <v>76.052800000000005</v>
      </c>
      <c r="L640" s="7">
        <v>1</v>
      </c>
      <c r="M640" s="4">
        <v>154.36019999999999</v>
      </c>
      <c r="N640" s="4">
        <v>9.6947262232063629</v>
      </c>
      <c r="O640" s="4">
        <v>6.5468884861363688E-3</v>
      </c>
      <c r="P640" s="7">
        <v>0.15387716329269971</v>
      </c>
      <c r="Q640" s="4">
        <v>0.16134687443786222</v>
      </c>
      <c r="R640" s="3">
        <v>7.731290165965788E-3</v>
      </c>
      <c r="S640" s="33">
        <v>-8.566975901496245E-3</v>
      </c>
      <c r="T640" s="5">
        <v>45.6</v>
      </c>
      <c r="U640" s="34">
        <v>8.6284741666666664E-2</v>
      </c>
      <c r="V640">
        <v>109.754323839417</v>
      </c>
    </row>
    <row r="641" spans="1:22" ht="16" x14ac:dyDescent="0.2">
      <c r="A641" s="2" t="s">
        <v>58</v>
      </c>
      <c r="B641" s="5">
        <v>2022</v>
      </c>
      <c r="C641" s="4">
        <v>1.4832748596683905</v>
      </c>
      <c r="D641" s="4">
        <v>-1.6045828451243995</v>
      </c>
      <c r="E641" s="13">
        <v>3.204281631385815E-2</v>
      </c>
      <c r="F641" s="4">
        <v>0.96519999999999995</v>
      </c>
      <c r="G641" s="4">
        <v>23.71</v>
      </c>
      <c r="H641" s="7">
        <v>-55.086190566395146</v>
      </c>
      <c r="I641" s="4">
        <v>-55.086190566395153</v>
      </c>
      <c r="J641" s="4">
        <v>1.0008999999999999</v>
      </c>
      <c r="K641" s="4">
        <v>77.580799999999996</v>
      </c>
      <c r="L641" s="7">
        <v>1</v>
      </c>
      <c r="M641" s="4">
        <v>233.35390000000001</v>
      </c>
      <c r="N641" s="4">
        <v>9.6077695516595956</v>
      </c>
      <c r="O641" s="4">
        <v>5.7645338388212976E-3</v>
      </c>
      <c r="P641" s="7">
        <v>0.15764172124813289</v>
      </c>
      <c r="Q641" s="4">
        <v>0.11387146651195407</v>
      </c>
      <c r="R641" s="3">
        <v>8.0399805775002459E-3</v>
      </c>
      <c r="S641" s="33">
        <v>-0.15470779172132842</v>
      </c>
      <c r="T641" s="5">
        <v>46.3</v>
      </c>
      <c r="U641" s="34">
        <v>0.19251043333333331</v>
      </c>
      <c r="V641">
        <v>131.49814044376399</v>
      </c>
    </row>
    <row r="642" spans="1:22" x14ac:dyDescent="0.2">
      <c r="A642" s="2"/>
      <c r="C642" s="4"/>
      <c r="D642" s="4"/>
      <c r="F642" s="4"/>
      <c r="G642" s="4"/>
      <c r="I642" s="4"/>
      <c r="J642" s="4"/>
      <c r="K642" s="4"/>
      <c r="L642" s="7"/>
      <c r="M642" s="4"/>
      <c r="N642" s="4"/>
      <c r="O642" s="4"/>
      <c r="Q642" s="4"/>
      <c r="R642" s="3"/>
    </row>
    <row r="643" spans="1:22" ht="16" x14ac:dyDescent="0.2">
      <c r="A643" s="2" t="s">
        <v>92</v>
      </c>
      <c r="B643" s="5">
        <v>2014</v>
      </c>
      <c r="C643" s="4">
        <v>5.1693806335754084</v>
      </c>
      <c r="D643" s="4">
        <v>-0.12536575131655245</v>
      </c>
      <c r="E643" s="9">
        <v>1.9175892262335032E-2</v>
      </c>
      <c r="F643" s="4">
        <v>0.97030000000000005</v>
      </c>
      <c r="G643" s="4">
        <v>8694.58</v>
      </c>
      <c r="H643" s="7">
        <v>-1.5774406181620226</v>
      </c>
      <c r="I643" s="4">
        <v>75155.678271600002</v>
      </c>
      <c r="J643" s="4">
        <v>1.1189</v>
      </c>
      <c r="K643" s="4">
        <v>74.533500000000004</v>
      </c>
      <c r="L643" s="7">
        <v>1</v>
      </c>
      <c r="M643" s="4">
        <v>69.970100000000002</v>
      </c>
      <c r="N643" s="4">
        <v>10.68266977925483</v>
      </c>
      <c r="O643" s="4">
        <v>8.2533437912205819E-3</v>
      </c>
      <c r="P643" s="4">
        <v>7.054905393626916E-2</v>
      </c>
      <c r="Q643" s="4">
        <v>0.15232597504868545</v>
      </c>
      <c r="R643" s="3">
        <v>6.6566557993320667E-3</v>
      </c>
      <c r="S643" s="33">
        <v>-6.0497682581134235E-2</v>
      </c>
      <c r="T643" s="5">
        <v>43</v>
      </c>
      <c r="U643" s="34">
        <v>0.10612881666666664</v>
      </c>
      <c r="V643">
        <v>105.944781034025</v>
      </c>
    </row>
    <row r="644" spans="1:22" ht="16" x14ac:dyDescent="0.2">
      <c r="A644" s="2" t="s">
        <v>92</v>
      </c>
      <c r="B644" s="5">
        <v>2015</v>
      </c>
      <c r="C644" s="4">
        <v>4.2454543320610885</v>
      </c>
      <c r="D644" s="4">
        <v>0.34568560760603184</v>
      </c>
      <c r="E644" s="9">
        <v>1.4788298996135792E-2</v>
      </c>
      <c r="F644" s="4">
        <v>0.96550000000000002</v>
      </c>
      <c r="G644" s="4">
        <v>8835.52</v>
      </c>
      <c r="H644" s="7">
        <v>1.6210098705170408</v>
      </c>
      <c r="I644" s="4">
        <v>54731.02847325</v>
      </c>
      <c r="J644" s="4">
        <v>1.0886</v>
      </c>
      <c r="K644" s="4">
        <v>76.910300000000007</v>
      </c>
      <c r="L644" s="7">
        <v>1</v>
      </c>
      <c r="M644" s="4">
        <v>77.020499999999998</v>
      </c>
      <c r="N644" s="4">
        <v>10.557770188707167</v>
      </c>
      <c r="O644" s="4">
        <v>6.7849948335361567E-3</v>
      </c>
      <c r="P644" s="4">
        <v>5.2088044561292235E-2</v>
      </c>
      <c r="Q644" s="4">
        <v>0.20530097674233358</v>
      </c>
      <c r="R644" s="3">
        <v>6.8237312168750973E-3</v>
      </c>
      <c r="S644" s="33">
        <v>-9.2314533358446485E-2</v>
      </c>
      <c r="T644" s="5">
        <v>44.8</v>
      </c>
      <c r="U644" s="34">
        <v>0.16251885833333332</v>
      </c>
      <c r="V644">
        <v>121.044025684011</v>
      </c>
    </row>
    <row r="645" spans="1:22" ht="16" x14ac:dyDescent="0.2">
      <c r="A645" s="2" t="s">
        <v>92</v>
      </c>
      <c r="B645" s="5">
        <v>2016</v>
      </c>
      <c r="C645" s="4">
        <v>5.0308446571530201</v>
      </c>
      <c r="D645" s="4">
        <v>2.4512375419590922</v>
      </c>
      <c r="E645" s="9">
        <v>-7.2263074496345056E-4</v>
      </c>
      <c r="F645" s="4">
        <v>0.96389999999999998</v>
      </c>
      <c r="G645" s="4">
        <v>10597.99</v>
      </c>
      <c r="H645" s="7">
        <v>19.947552605845488</v>
      </c>
      <c r="I645" s="4">
        <v>52096.666903960002</v>
      </c>
      <c r="J645" s="4">
        <v>1.0952999999999999</v>
      </c>
      <c r="K645" s="4">
        <v>70.413499999999999</v>
      </c>
      <c r="L645" s="7">
        <v>1</v>
      </c>
      <c r="M645" s="4">
        <v>74.124700000000004</v>
      </c>
      <c r="N645" s="4">
        <v>10.64429431077434</v>
      </c>
      <c r="O645" s="4">
        <v>6.5101814563413773E-3</v>
      </c>
      <c r="P645" s="4">
        <v>7.8510140918230206E-2</v>
      </c>
      <c r="Q645" s="4">
        <v>0.23992438706586122</v>
      </c>
      <c r="R645" s="3">
        <v>6.6997804744810411E-3</v>
      </c>
      <c r="S645" s="33">
        <v>0.12570431786897612</v>
      </c>
      <c r="T645" s="5">
        <v>44.6</v>
      </c>
      <c r="U645" s="34">
        <v>0.17348815833333334</v>
      </c>
      <c r="V645">
        <v>108.79290004683401</v>
      </c>
    </row>
    <row r="646" spans="1:22" ht="16" x14ac:dyDescent="0.2">
      <c r="A646" s="2" t="s">
        <v>92</v>
      </c>
      <c r="B646" s="5">
        <v>2017</v>
      </c>
      <c r="C646" s="4">
        <v>4.2255286920954571</v>
      </c>
      <c r="D646" s="4">
        <v>2.9024628454920816</v>
      </c>
      <c r="E646" s="9">
        <v>-1.5169513598572777E-2</v>
      </c>
      <c r="F646" s="4">
        <v>0.96630000000000005</v>
      </c>
      <c r="G646" s="4">
        <v>11941.75</v>
      </c>
      <c r="H646" s="7">
        <v>12.679385430633547</v>
      </c>
      <c r="I646" s="4">
        <v>46078.687571029994</v>
      </c>
      <c r="J646" s="4">
        <v>1.0152000000000001</v>
      </c>
      <c r="K646" s="4">
        <v>73.200100000000006</v>
      </c>
      <c r="L646" s="7">
        <v>1</v>
      </c>
      <c r="M646" s="4">
        <v>128.51580000000001</v>
      </c>
      <c r="N646" s="4">
        <v>10.697827966934129</v>
      </c>
      <c r="O646" s="4">
        <v>5.9311460692813246E-3</v>
      </c>
      <c r="P646" s="4">
        <v>0.10186260693221132</v>
      </c>
      <c r="Q646" s="4">
        <v>0.27571590536279011</v>
      </c>
      <c r="R646" s="3">
        <v>6.6826815984953013E-3</v>
      </c>
      <c r="S646" s="33">
        <v>-1.4557344380430779E-2</v>
      </c>
      <c r="T646" s="5">
        <v>44</v>
      </c>
      <c r="U646" s="34">
        <v>6.9751091666666667E-2</v>
      </c>
      <c r="V646">
        <v>112.166141081871</v>
      </c>
    </row>
    <row r="647" spans="1:22" ht="16" x14ac:dyDescent="0.2">
      <c r="A647" s="2" t="s">
        <v>92</v>
      </c>
      <c r="B647" s="5">
        <v>2018</v>
      </c>
      <c r="C647" s="4">
        <v>4.4674174961453055</v>
      </c>
      <c r="D647" s="4">
        <v>-0.17889758955477433</v>
      </c>
      <c r="E647" s="9">
        <v>1.7633269787099181E-2</v>
      </c>
      <c r="F647" s="4">
        <v>0.96079999999999999</v>
      </c>
      <c r="G647" s="4">
        <v>11549.41</v>
      </c>
      <c r="H647" s="7">
        <v>-3.2854481127137993</v>
      </c>
      <c r="I647" s="4">
        <v>46524.850401249998</v>
      </c>
      <c r="J647" s="4">
        <v>1.0337000000000001</v>
      </c>
      <c r="K647" s="4">
        <v>75.991900000000001</v>
      </c>
      <c r="L647" s="7">
        <v>1</v>
      </c>
      <c r="M647" s="4">
        <v>102.2799</v>
      </c>
      <c r="N647" s="4">
        <v>10.713823647853138</v>
      </c>
      <c r="O647" s="4">
        <v>5.696487032955882E-3</v>
      </c>
      <c r="P647" s="4">
        <v>0.13963849306274076</v>
      </c>
      <c r="Q647" s="4">
        <v>0.38309007081451557</v>
      </c>
      <c r="R647" s="3">
        <v>7.0070301153839377E-3</v>
      </c>
      <c r="S647" s="33">
        <v>2.2317420335519114E-2</v>
      </c>
      <c r="T647" s="5">
        <v>45.2</v>
      </c>
      <c r="U647" s="34">
        <v>9.823383333333334E-2</v>
      </c>
      <c r="V647">
        <v>110.42317934106001</v>
      </c>
    </row>
    <row r="648" spans="1:22" ht="16" x14ac:dyDescent="0.2">
      <c r="A648" s="2" t="s">
        <v>92</v>
      </c>
      <c r="B648" s="5">
        <v>2019</v>
      </c>
      <c r="C648" s="4">
        <v>2.8339078536969353</v>
      </c>
      <c r="D648" s="4">
        <v>0.78027166563794836</v>
      </c>
      <c r="E648" s="9">
        <v>7.2983178990133901E-3</v>
      </c>
      <c r="F648" s="4">
        <v>0.95530000000000004</v>
      </c>
      <c r="G648" s="4">
        <v>11471.79</v>
      </c>
      <c r="H648" s="7">
        <v>-0.67206896283012718</v>
      </c>
      <c r="I648" s="4">
        <v>47272.360982560007</v>
      </c>
      <c r="J648" s="4">
        <v>0.9486</v>
      </c>
      <c r="K648" s="4">
        <v>80.708600000000004</v>
      </c>
      <c r="L648" s="7">
        <v>1</v>
      </c>
      <c r="M648" s="4">
        <v>159.1131</v>
      </c>
      <c r="N648" s="4">
        <v>10.696396322477778</v>
      </c>
      <c r="O648" s="4">
        <v>5.9298245855611839E-3</v>
      </c>
      <c r="P648" s="4">
        <v>0.16310415641910792</v>
      </c>
      <c r="Q648" s="4">
        <v>0.70183994585457032</v>
      </c>
      <c r="R648" s="3">
        <v>7.0018373194375028E-3</v>
      </c>
      <c r="S648" s="33">
        <v>1.5297507443604967E-2</v>
      </c>
      <c r="T648" s="5">
        <v>45.2</v>
      </c>
      <c r="U648" s="34">
        <v>0.16861495833333337</v>
      </c>
      <c r="V648">
        <v>109.009665900863</v>
      </c>
    </row>
    <row r="649" spans="1:22" ht="16" x14ac:dyDescent="0.2">
      <c r="A649" s="2" t="s">
        <v>92</v>
      </c>
      <c r="B649" s="5">
        <v>2020</v>
      </c>
      <c r="C649" s="4">
        <v>3.372781335570779</v>
      </c>
      <c r="D649" s="4">
        <v>-0.17457493085135212</v>
      </c>
      <c r="E649" s="9">
        <v>2.373065137441448E-2</v>
      </c>
      <c r="F649" s="4">
        <v>0.96130000000000004</v>
      </c>
      <c r="G649" s="4">
        <v>11929.03</v>
      </c>
      <c r="H649" s="7">
        <v>3.9857772849747048</v>
      </c>
      <c r="I649" s="4">
        <v>51658.377312829994</v>
      </c>
      <c r="J649" s="4">
        <v>0.92730000000000001</v>
      </c>
      <c r="K649" s="4">
        <v>78.566400000000002</v>
      </c>
      <c r="L649" s="7">
        <v>1</v>
      </c>
      <c r="M649" s="4">
        <v>181.47669999999999</v>
      </c>
      <c r="N649" s="4">
        <v>10.735602875712944</v>
      </c>
      <c r="O649" s="4">
        <v>6.0886737455318552E-3</v>
      </c>
      <c r="P649" s="4">
        <v>0.12593253424521111</v>
      </c>
      <c r="Q649" s="4">
        <v>0.43220741006809243</v>
      </c>
      <c r="R649" s="3">
        <v>6.8758753117578566E-3</v>
      </c>
      <c r="S649" s="33">
        <v>-1.3521754698139338E-2</v>
      </c>
      <c r="T649" s="5">
        <v>45.4</v>
      </c>
      <c r="U649" s="34">
        <v>0.19133301666666666</v>
      </c>
      <c r="V649">
        <v>106.77458226243699</v>
      </c>
    </row>
    <row r="650" spans="1:22" ht="16" x14ac:dyDescent="0.2">
      <c r="A650" s="2" t="s">
        <v>92</v>
      </c>
      <c r="B650" s="5">
        <v>2021</v>
      </c>
      <c r="C650" s="4">
        <v>1.6928793089948104</v>
      </c>
      <c r="D650" s="4">
        <v>-3.5102941931026397</v>
      </c>
      <c r="E650" s="9">
        <v>4.9203553559541362E-2</v>
      </c>
      <c r="F650" s="4">
        <v>0.95499999999999996</v>
      </c>
      <c r="G650" s="4">
        <v>10676.81</v>
      </c>
      <c r="H650" s="7">
        <v>-10.497249147667507</v>
      </c>
      <c r="I650" s="4">
        <v>54625.617583600004</v>
      </c>
      <c r="J650" s="4">
        <v>0.90410000000000001</v>
      </c>
      <c r="K650" s="4">
        <v>87.765000000000001</v>
      </c>
      <c r="L650" s="7">
        <v>1</v>
      </c>
      <c r="M650" s="4">
        <v>158.8638</v>
      </c>
      <c r="N650" s="4">
        <v>10.791364486740742</v>
      </c>
      <c r="O650" s="4">
        <v>5.9674010202896595E-3</v>
      </c>
      <c r="P650" s="4">
        <v>0.16052081766545631</v>
      </c>
      <c r="Q650" s="4">
        <v>0.42986229348513849</v>
      </c>
      <c r="R650" s="3">
        <v>6.7293112149842326E-3</v>
      </c>
      <c r="S650" s="33">
        <v>-8.566975901496245E-3</v>
      </c>
      <c r="T650" s="5">
        <v>45.6</v>
      </c>
      <c r="U650" s="34">
        <v>8.6284741666666664E-2</v>
      </c>
      <c r="V650">
        <v>109.754323839417</v>
      </c>
    </row>
    <row r="651" spans="1:22" ht="16" x14ac:dyDescent="0.2">
      <c r="A651" s="2" t="s">
        <v>92</v>
      </c>
      <c r="B651" s="5">
        <v>2022</v>
      </c>
      <c r="C651" s="4">
        <v>4.2316067046750421</v>
      </c>
      <c r="D651" s="4">
        <v>-2.0971967738746531</v>
      </c>
      <c r="E651" s="9">
        <v>3.822053581795383E-2</v>
      </c>
      <c r="F651" s="4">
        <v>0.95899999999999996</v>
      </c>
      <c r="G651" s="4">
        <v>7401.9219999999996</v>
      </c>
      <c r="H651" s="7">
        <v>-30.672906982516313</v>
      </c>
      <c r="I651" s="4">
        <v>53517.908437509999</v>
      </c>
      <c r="J651" s="4">
        <v>0.89859999999999995</v>
      </c>
      <c r="K651" s="4">
        <v>74.605999999999995</v>
      </c>
      <c r="L651" s="7">
        <v>1</v>
      </c>
      <c r="M651" s="4">
        <v>259.16030000000001</v>
      </c>
      <c r="N651" s="4">
        <v>10.763826852462781</v>
      </c>
      <c r="O651" s="4">
        <v>5.7751966183204979E-3</v>
      </c>
      <c r="P651" s="4">
        <v>0.18780330560637246</v>
      </c>
      <c r="Q651" s="4">
        <v>9.9137895987221072E-2</v>
      </c>
      <c r="R651" s="3">
        <v>6.8341298545771482E-3</v>
      </c>
      <c r="S651" s="33">
        <v>-0.15470779172132842</v>
      </c>
      <c r="T651" s="5">
        <v>46.3</v>
      </c>
      <c r="U651" s="34">
        <v>0.19251043333333331</v>
      </c>
      <c r="V651">
        <v>131.49814044376399</v>
      </c>
    </row>
    <row r="653" spans="1:22" ht="16" x14ac:dyDescent="0.2">
      <c r="A653" s="2" t="s">
        <v>93</v>
      </c>
      <c r="B653" s="5">
        <v>2014</v>
      </c>
      <c r="C653" s="4">
        <v>3.4144128132261122</v>
      </c>
      <c r="D653" s="4">
        <v>4.1883902804034E-2</v>
      </c>
      <c r="E653" s="9">
        <v>1.5925217928254E-2</v>
      </c>
      <c r="F653" s="4">
        <v>0.96160000000000001</v>
      </c>
      <c r="G653" s="4">
        <v>18.82</v>
      </c>
      <c r="H653" s="7">
        <v>151.6042780748663</v>
      </c>
      <c r="I653" s="5">
        <v>27063.736140391266</v>
      </c>
      <c r="J653" s="4">
        <v>1.1356999999999999</v>
      </c>
      <c r="K653" s="4">
        <v>69.620800000000003</v>
      </c>
      <c r="L653" s="7">
        <v>1</v>
      </c>
      <c r="M653" s="4">
        <v>17.951599999999999</v>
      </c>
      <c r="N653" s="4">
        <v>10.292394806174352</v>
      </c>
      <c r="O653" s="4">
        <v>1.2260003126606467E-2</v>
      </c>
      <c r="P653" s="4">
        <v>4.1528630174507482E-2</v>
      </c>
      <c r="Q653" s="4">
        <v>0.13284489509430308</v>
      </c>
      <c r="R653" s="3">
        <v>5.2209437443771298E-3</v>
      </c>
      <c r="S653" s="33">
        <v>-6.0497682581134235E-2</v>
      </c>
      <c r="T653" s="5">
        <v>43</v>
      </c>
      <c r="U653" s="34">
        <v>0.10612881666666664</v>
      </c>
      <c r="V653">
        <v>105.944781034025</v>
      </c>
    </row>
    <row r="654" spans="1:22" ht="16" x14ac:dyDescent="0.2">
      <c r="A654" s="2" t="s">
        <v>93</v>
      </c>
      <c r="B654" s="5">
        <v>2015</v>
      </c>
      <c r="C654" s="4">
        <v>4.3266372131339361</v>
      </c>
      <c r="D654" s="4">
        <v>0.97477114913826346</v>
      </c>
      <c r="E654" s="9">
        <v>9.7900798118817026E-3</v>
      </c>
      <c r="F654" s="4">
        <v>0.95399999999999996</v>
      </c>
      <c r="G654" s="4">
        <v>419.25</v>
      </c>
      <c r="H654" s="7">
        <v>2127.6833156216794</v>
      </c>
      <c r="I654" s="5">
        <v>34294.320668512642</v>
      </c>
      <c r="J654" s="4">
        <v>1.1246</v>
      </c>
      <c r="K654" s="4">
        <v>68.763000000000005</v>
      </c>
      <c r="L654" s="7">
        <v>1</v>
      </c>
      <c r="M654" s="4">
        <v>22.8584</v>
      </c>
      <c r="N654" s="4">
        <v>10.177710234906559</v>
      </c>
      <c r="O654" s="4">
        <v>1.0031445473373962E-2</v>
      </c>
      <c r="P654" s="4">
        <v>1.8681000356888824E-2</v>
      </c>
      <c r="Q654" s="4">
        <v>0.12551025630402624</v>
      </c>
      <c r="R654" s="3">
        <v>5.3104165864967046E-3</v>
      </c>
      <c r="S654" s="33">
        <v>-9.2314533358446485E-2</v>
      </c>
      <c r="T654" s="5">
        <v>44.8</v>
      </c>
      <c r="U654" s="34">
        <v>0.16251885833333332</v>
      </c>
      <c r="V654">
        <v>121.044025684011</v>
      </c>
    </row>
    <row r="655" spans="1:22" ht="16" x14ac:dyDescent="0.2">
      <c r="A655" s="2" t="s">
        <v>93</v>
      </c>
      <c r="B655" s="5">
        <v>2016</v>
      </c>
      <c r="C655" s="4">
        <v>4.3807623857332585</v>
      </c>
      <c r="D655" s="4">
        <v>3.4950768907700747</v>
      </c>
      <c r="E655" s="9">
        <v>-7.2825344829290459E-3</v>
      </c>
      <c r="F655" s="4">
        <v>0.94969999999999999</v>
      </c>
      <c r="G655" s="4">
        <v>1641.12</v>
      </c>
      <c r="H655" s="7">
        <v>291.44186046511624</v>
      </c>
      <c r="I655" s="4">
        <v>34723.334226599996</v>
      </c>
      <c r="J655" s="4">
        <v>1.1187</v>
      </c>
      <c r="K655" s="4">
        <v>67.198499999999996</v>
      </c>
      <c r="L655" s="7">
        <v>1</v>
      </c>
      <c r="M655" s="4">
        <v>44.1873</v>
      </c>
      <c r="N655" s="4">
        <v>10.267858097730647</v>
      </c>
      <c r="O655" s="4">
        <v>1.026111155848854E-2</v>
      </c>
      <c r="P655" s="4">
        <v>3.3693210230478401E-2</v>
      </c>
      <c r="Q655" s="4">
        <v>0.13000692135158906</v>
      </c>
      <c r="R655" s="3">
        <v>5.3335187817642902E-3</v>
      </c>
      <c r="S655" s="33">
        <v>0.12570431786897612</v>
      </c>
      <c r="T655" s="5">
        <v>44.6</v>
      </c>
      <c r="U655" s="34">
        <v>0.17348815833333334</v>
      </c>
      <c r="V655">
        <v>108.79290004683401</v>
      </c>
    </row>
    <row r="656" spans="1:22" ht="16" x14ac:dyDescent="0.2">
      <c r="A656" s="2" t="s">
        <v>93</v>
      </c>
      <c r="B656" s="5">
        <v>2017</v>
      </c>
      <c r="C656" s="4">
        <v>4.5088852941581568</v>
      </c>
      <c r="D656" s="4">
        <v>0.2876864549770663</v>
      </c>
      <c r="E656" s="9">
        <v>1.3264456278012635E-2</v>
      </c>
      <c r="F656" s="4">
        <v>0.96009999999999995</v>
      </c>
      <c r="G656" s="4">
        <v>1729.24</v>
      </c>
      <c r="H656" s="7">
        <v>5.369503753534179</v>
      </c>
      <c r="I656" s="4">
        <v>32992.804387079996</v>
      </c>
      <c r="J656" s="4">
        <v>1.0327</v>
      </c>
      <c r="K656" s="4">
        <v>77.311400000000006</v>
      </c>
      <c r="L656" s="7">
        <v>1</v>
      </c>
      <c r="M656" s="4">
        <v>72.822900000000004</v>
      </c>
      <c r="N656" s="4">
        <v>10.29268229994268</v>
      </c>
      <c r="O656" s="4">
        <v>9.8258222956999399E-3</v>
      </c>
      <c r="P656" s="4">
        <v>7.8767878883847814E-2</v>
      </c>
      <c r="Q656" s="4">
        <v>0.20811721431226604</v>
      </c>
      <c r="R656" s="3">
        <v>5.3917664465097962E-3</v>
      </c>
      <c r="S656" s="33">
        <v>-1.4557344380430779E-2</v>
      </c>
      <c r="T656" s="5">
        <v>44</v>
      </c>
      <c r="U656" s="34">
        <v>6.9751091666666667E-2</v>
      </c>
      <c r="V656">
        <v>112.166141081871</v>
      </c>
    </row>
    <row r="657" spans="1:22" ht="16" x14ac:dyDescent="0.2">
      <c r="A657" s="2" t="s">
        <v>93</v>
      </c>
      <c r="B657" s="5">
        <v>2018</v>
      </c>
      <c r="C657" s="4">
        <v>3.541998724222263</v>
      </c>
      <c r="D657" s="4">
        <v>-9.7906246706030264E-2</v>
      </c>
      <c r="E657" s="9">
        <v>2.071972084094233E-2</v>
      </c>
      <c r="F657" s="4">
        <v>0.95709999999999995</v>
      </c>
      <c r="G657" s="4">
        <v>239.21</v>
      </c>
      <c r="H657" s="7">
        <v>-86.166755337604968</v>
      </c>
      <c r="I657" s="4">
        <v>28663.406498479995</v>
      </c>
      <c r="J657" s="4">
        <v>1.0276000000000001</v>
      </c>
      <c r="K657" s="4">
        <v>84.163899999999998</v>
      </c>
      <c r="L657" s="7">
        <v>1</v>
      </c>
      <c r="M657" s="4">
        <v>52.145099999999999</v>
      </c>
      <c r="N657" s="4">
        <v>10.345888974877408</v>
      </c>
      <c r="O657" s="4">
        <v>7.4328173577728422E-3</v>
      </c>
      <c r="P657" s="4">
        <v>9.4160367161632508E-2</v>
      </c>
      <c r="Q657" s="4">
        <v>0.22451114661797156</v>
      </c>
      <c r="R657" s="3">
        <v>5.5169657695986292E-3</v>
      </c>
      <c r="S657" s="33">
        <v>2.2317420335519114E-2</v>
      </c>
      <c r="T657" s="5">
        <v>45.2</v>
      </c>
      <c r="U657" s="34">
        <v>9.823383333333334E-2</v>
      </c>
      <c r="V657">
        <v>110.42317934106001</v>
      </c>
    </row>
    <row r="658" spans="1:22" ht="16" x14ac:dyDescent="0.2">
      <c r="A658" s="2" t="s">
        <v>93</v>
      </c>
      <c r="B658" s="5">
        <v>2019</v>
      </c>
      <c r="C658" s="4">
        <v>2.6331139331410589</v>
      </c>
      <c r="D658" s="4">
        <v>1.722487470646604</v>
      </c>
      <c r="E658" s="9">
        <v>2.1602351437280797E-3</v>
      </c>
      <c r="F658" s="4">
        <v>0.94989999999999997</v>
      </c>
      <c r="G658" s="4">
        <v>215.26</v>
      </c>
      <c r="H658" s="7">
        <v>-10.012123238995033</v>
      </c>
      <c r="I658" s="4">
        <v>22973.89843419</v>
      </c>
      <c r="J658" s="4">
        <v>1.0346</v>
      </c>
      <c r="K658" s="4">
        <v>81.276799999999994</v>
      </c>
      <c r="L658" s="7">
        <v>1</v>
      </c>
      <c r="M658" s="4">
        <v>106.2764</v>
      </c>
      <c r="N658" s="4">
        <v>10.355319029476119</v>
      </c>
      <c r="O658" s="4">
        <v>6.2366073698337998E-3</v>
      </c>
      <c r="P658" s="4">
        <v>0.14822868220449956</v>
      </c>
      <c r="Q658" s="4">
        <v>0.10629982107509495</v>
      </c>
      <c r="R658" s="3">
        <v>5.7229614906583936E-3</v>
      </c>
      <c r="S658" s="33">
        <v>1.5297507443604967E-2</v>
      </c>
      <c r="T658" s="5">
        <v>45.2</v>
      </c>
      <c r="U658" s="34">
        <v>0.16861495833333337</v>
      </c>
      <c r="V658">
        <v>109.009665900863</v>
      </c>
    </row>
    <row r="659" spans="1:22" ht="16" x14ac:dyDescent="0.2">
      <c r="A659" s="2" t="s">
        <v>93</v>
      </c>
      <c r="B659" s="5">
        <v>2020</v>
      </c>
      <c r="C659" s="4">
        <v>2.5531176649546561</v>
      </c>
      <c r="D659" s="4">
        <v>0.61767936789087396</v>
      </c>
      <c r="E659" s="9">
        <v>2.0595738219808372E-2</v>
      </c>
      <c r="F659" s="4">
        <v>0.95050000000000001</v>
      </c>
      <c r="G659" s="4">
        <v>297.43</v>
      </c>
      <c r="H659" s="7">
        <v>38.172442627520212</v>
      </c>
      <c r="I659" s="4">
        <v>24887.433910440002</v>
      </c>
      <c r="J659" s="4">
        <v>0.99739999999999995</v>
      </c>
      <c r="K659" s="4">
        <v>80.535499999999999</v>
      </c>
      <c r="L659" s="7">
        <v>1</v>
      </c>
      <c r="M659" s="4">
        <v>121.9392</v>
      </c>
      <c r="N659" s="4">
        <v>10.391436681271454</v>
      </c>
      <c r="O659" s="4">
        <v>6.3299326082471808E-3</v>
      </c>
      <c r="P659" s="4">
        <v>0.10072917276330313</v>
      </c>
      <c r="Q659" s="4">
        <v>0.11929841562091185</v>
      </c>
      <c r="R659" s="3">
        <v>5.9483933010938744E-3</v>
      </c>
      <c r="S659" s="33">
        <v>-1.3521754698139338E-2</v>
      </c>
      <c r="T659" s="5">
        <v>45.4</v>
      </c>
      <c r="U659" s="34">
        <v>0.19133301666666666</v>
      </c>
      <c r="V659">
        <v>106.77458226243699</v>
      </c>
    </row>
    <row r="660" spans="1:22" ht="16" x14ac:dyDescent="0.2">
      <c r="A660" s="2" t="s">
        <v>93</v>
      </c>
      <c r="B660" s="5">
        <v>2021</v>
      </c>
      <c r="C660" s="4">
        <v>2.0151712449018637</v>
      </c>
      <c r="D660" s="4">
        <v>-4.3628433291408397</v>
      </c>
      <c r="E660" s="9">
        <v>5.949869268852389E-2</v>
      </c>
      <c r="F660" s="4">
        <v>0.95479999999999998</v>
      </c>
      <c r="G660" s="4">
        <v>866.71</v>
      </c>
      <c r="H660" s="7">
        <v>191.39965706216589</v>
      </c>
      <c r="I660" s="4">
        <v>24510.078222569999</v>
      </c>
      <c r="J660" s="4">
        <v>0.87590000000000001</v>
      </c>
      <c r="K660" s="4">
        <v>79.732600000000005</v>
      </c>
      <c r="L660" s="7">
        <v>1</v>
      </c>
      <c r="M660" s="4">
        <v>213.6575</v>
      </c>
      <c r="N660" s="4">
        <v>10.541167320765656</v>
      </c>
      <c r="O660" s="4">
        <v>5.7996869117981466E-3</v>
      </c>
      <c r="P660" s="4">
        <v>0.1767414653132745</v>
      </c>
      <c r="Q660" s="4">
        <v>6.1437608407305375E-2</v>
      </c>
      <c r="R660" s="3">
        <v>5.7882507431567722E-3</v>
      </c>
      <c r="S660" s="33">
        <v>-8.566975901496245E-3</v>
      </c>
      <c r="T660" s="5">
        <v>45.6</v>
      </c>
      <c r="U660" s="34">
        <v>8.6284741666666664E-2</v>
      </c>
      <c r="V660">
        <v>109.754323839417</v>
      </c>
    </row>
    <row r="661" spans="1:22" ht="16" x14ac:dyDescent="0.2">
      <c r="A661" s="2" t="s">
        <v>93</v>
      </c>
      <c r="B661" s="5">
        <v>2022</v>
      </c>
      <c r="C661" s="4">
        <v>1.6311861318834699</v>
      </c>
      <c r="D661" s="4">
        <v>-0.71973519475918524</v>
      </c>
      <c r="E661" s="9">
        <v>2.5823745352461177E-2</v>
      </c>
      <c r="F661" s="4">
        <v>0.96020000000000005</v>
      </c>
      <c r="G661" s="4">
        <v>890.95</v>
      </c>
      <c r="H661" s="7">
        <v>2.7967832377611899</v>
      </c>
      <c r="I661" s="5">
        <v>19839.752968478981</v>
      </c>
      <c r="J661" s="4">
        <v>0.80369999999999997</v>
      </c>
      <c r="K661" s="4">
        <v>79.127099999999999</v>
      </c>
      <c r="L661" s="7">
        <v>1</v>
      </c>
      <c r="M661" s="4">
        <v>331.46710000000002</v>
      </c>
      <c r="N661" s="4">
        <v>10.512441555794055</v>
      </c>
      <c r="O661" s="4">
        <v>5.6968814740415213E-3</v>
      </c>
      <c r="P661" s="4">
        <v>0.19893040186535674</v>
      </c>
      <c r="Q661" s="4">
        <v>5.5539362059089686E-2</v>
      </c>
      <c r="R661" s="3">
        <v>5.8551556344087746E-3</v>
      </c>
      <c r="S661" s="33">
        <v>-0.15470779172132842</v>
      </c>
      <c r="T661" s="5">
        <v>46.3</v>
      </c>
      <c r="U661" s="34">
        <v>0.19251043333333331</v>
      </c>
      <c r="V661">
        <v>131.49814044376399</v>
      </c>
    </row>
    <row r="663" spans="1:22" ht="16" x14ac:dyDescent="0.2">
      <c r="A663" s="2" t="s">
        <v>59</v>
      </c>
      <c r="B663" s="5">
        <v>2014</v>
      </c>
      <c r="C663" s="12">
        <v>5.2310038825592651</v>
      </c>
      <c r="D663" s="4">
        <v>-0.30050770050108977</v>
      </c>
      <c r="E663" s="9">
        <v>9.9804059756530387E-3</v>
      </c>
      <c r="F663" s="11">
        <v>0.9879</v>
      </c>
      <c r="G663" s="8">
        <v>427018</v>
      </c>
      <c r="H663" s="7">
        <v>-11.895649231543743</v>
      </c>
      <c r="I663" s="4">
        <v>36730.43629826</v>
      </c>
      <c r="J663" s="11">
        <v>0.33250000000000002</v>
      </c>
      <c r="K663" s="11">
        <v>41.409500000000001</v>
      </c>
      <c r="L663" s="7">
        <v>1</v>
      </c>
      <c r="M663" s="8">
        <v>444.3707</v>
      </c>
      <c r="N663" s="8">
        <v>12.620025417625904</v>
      </c>
      <c r="O663" s="8">
        <v>6.7183907618723129E-3</v>
      </c>
      <c r="P663" s="8">
        <v>9.9934843414149335E-2</v>
      </c>
      <c r="Q663" s="8">
        <v>2.6867659115771012</v>
      </c>
      <c r="R663" s="3">
        <v>2.5260158874902752E-3</v>
      </c>
      <c r="S663" s="33">
        <v>-6.0497682581134235E-2</v>
      </c>
      <c r="T663" s="5">
        <v>43</v>
      </c>
      <c r="U663" s="34">
        <v>0.10612881666666664</v>
      </c>
      <c r="V663">
        <v>105.944781034025</v>
      </c>
    </row>
    <row r="664" spans="1:22" ht="16" x14ac:dyDescent="0.2">
      <c r="A664" s="2" t="s">
        <v>59</v>
      </c>
      <c r="B664" s="5">
        <v>2015</v>
      </c>
      <c r="C664" s="12">
        <v>7.590221149059551</v>
      </c>
      <c r="D664" s="4">
        <v>0.69707486289739573</v>
      </c>
      <c r="E664" s="9">
        <v>-5.6980314321617429E-4</v>
      </c>
      <c r="F664" s="11">
        <v>0.99109999999999998</v>
      </c>
      <c r="G664" s="8">
        <v>303321</v>
      </c>
      <c r="H664" s="7">
        <v>-28.967631341067591</v>
      </c>
      <c r="I664" s="4">
        <v>35933.030328059998</v>
      </c>
      <c r="J664" s="11">
        <v>0.34110000000000001</v>
      </c>
      <c r="K664" s="11">
        <v>34.226199999999999</v>
      </c>
      <c r="L664" s="7">
        <v>1</v>
      </c>
      <c r="M664" s="8">
        <v>409.83330000000001</v>
      </c>
      <c r="N664" s="8">
        <v>12.540460683503232</v>
      </c>
      <c r="O664" s="8">
        <v>7.4727068795597141E-3</v>
      </c>
      <c r="P664" s="8">
        <v>0.16770273325081245</v>
      </c>
      <c r="Q664" s="8">
        <v>1.5380943526803108</v>
      </c>
      <c r="R664" s="3">
        <v>2.3067273119925439E-3</v>
      </c>
      <c r="S664" s="33">
        <v>-9.2314533358446485E-2</v>
      </c>
      <c r="T664" s="5">
        <v>44.8</v>
      </c>
      <c r="U664" s="34">
        <v>0.16251885833333332</v>
      </c>
      <c r="V664">
        <v>121.044025684011</v>
      </c>
    </row>
    <row r="665" spans="1:22" ht="16" x14ac:dyDescent="0.2">
      <c r="A665" s="2" t="s">
        <v>59</v>
      </c>
      <c r="B665" s="5">
        <v>2016</v>
      </c>
      <c r="C665" s="12">
        <v>5.4937207546124229</v>
      </c>
      <c r="D665" s="4">
        <v>-0.16118570053927631</v>
      </c>
      <c r="E665" s="9">
        <v>1.0261072644462894E-2</v>
      </c>
      <c r="F665" s="11">
        <v>0.98370000000000002</v>
      </c>
      <c r="G665" s="8">
        <v>286729</v>
      </c>
      <c r="H665" s="7">
        <v>-5.4701125210585486</v>
      </c>
      <c r="I665" s="4">
        <v>32535.022143189999</v>
      </c>
      <c r="J665" s="11">
        <v>0.29909999999999998</v>
      </c>
      <c r="K665" s="11">
        <v>44.244999999999997</v>
      </c>
      <c r="L665" s="7">
        <v>1</v>
      </c>
      <c r="M665" s="8">
        <v>339.74369999999999</v>
      </c>
      <c r="N665" s="8">
        <v>12.650556309500237</v>
      </c>
      <c r="O665" s="8">
        <v>6.7933834518593555E-3</v>
      </c>
      <c r="P665" s="8">
        <v>0.23140254421421538</v>
      </c>
      <c r="Q665" s="8">
        <v>2.1157341382670607</v>
      </c>
      <c r="R665" s="3">
        <v>2.4904896988231459E-3</v>
      </c>
      <c r="S665" s="33">
        <v>0.12570431786897612</v>
      </c>
      <c r="T665" s="5">
        <v>44.6</v>
      </c>
      <c r="U665" s="34">
        <v>0.17348815833333334</v>
      </c>
      <c r="V665">
        <v>108.79290004683401</v>
      </c>
    </row>
    <row r="666" spans="1:22" ht="16" x14ac:dyDescent="0.2">
      <c r="A666" s="2" t="s">
        <v>59</v>
      </c>
      <c r="B666" s="5">
        <v>2017</v>
      </c>
      <c r="C666" s="12">
        <v>5.27119131185803</v>
      </c>
      <c r="D666" s="4">
        <v>-0.26325647049065304</v>
      </c>
      <c r="E666" s="9">
        <v>9.2023318972044351E-3</v>
      </c>
      <c r="F666" s="11">
        <v>0.98640000000000005</v>
      </c>
      <c r="G666" s="8">
        <v>239800</v>
      </c>
      <c r="H666" s="7">
        <v>-16.367022519521917</v>
      </c>
      <c r="I666" s="4">
        <v>37494.88509312</v>
      </c>
      <c r="J666" s="11">
        <v>0.307</v>
      </c>
      <c r="K666" s="11">
        <v>49.885899999999999</v>
      </c>
      <c r="L666" s="7">
        <v>1</v>
      </c>
      <c r="M666" s="8">
        <v>372.98250000000002</v>
      </c>
      <c r="N666" s="8">
        <v>12.726587756627669</v>
      </c>
      <c r="O666" s="8">
        <v>5.6760899349634873E-3</v>
      </c>
      <c r="P666" s="8">
        <v>0.2560410353614222</v>
      </c>
      <c r="Q666" s="8">
        <v>2.3160293227701967</v>
      </c>
      <c r="R666" s="3">
        <v>2.749870954583337E-3</v>
      </c>
      <c r="S666" s="33">
        <v>-1.4557344380430779E-2</v>
      </c>
      <c r="T666" s="5">
        <v>44</v>
      </c>
      <c r="U666" s="34">
        <v>6.9751091666666667E-2</v>
      </c>
      <c r="V666">
        <v>112.166141081871</v>
      </c>
    </row>
    <row r="667" spans="1:22" ht="16" x14ac:dyDescent="0.2">
      <c r="A667" s="2" t="s">
        <v>59</v>
      </c>
      <c r="B667" s="5">
        <v>2018</v>
      </c>
      <c r="C667" s="4">
        <v>5.086274734307791</v>
      </c>
      <c r="D667" s="4">
        <v>-6.0032960304637652E-2</v>
      </c>
      <c r="E667" s="9">
        <v>5.8960129718551389E-3</v>
      </c>
      <c r="F667" s="4">
        <v>0.9919</v>
      </c>
      <c r="G667" s="4">
        <v>238159</v>
      </c>
      <c r="H667" s="7">
        <v>-0.68432026688907421</v>
      </c>
      <c r="I667" s="4">
        <v>39440.486649600003</v>
      </c>
      <c r="J667" s="4">
        <v>0.38679999999999998</v>
      </c>
      <c r="K667" s="4">
        <v>46.9499</v>
      </c>
      <c r="L667" s="7">
        <v>1</v>
      </c>
      <c r="M667" s="4">
        <v>389.7328</v>
      </c>
      <c r="N667" s="4">
        <v>12.808172199484165</v>
      </c>
      <c r="O667" s="4">
        <v>6.1890509260245875E-3</v>
      </c>
      <c r="P667" s="7">
        <v>0.30360659863007655</v>
      </c>
      <c r="Q667" s="4">
        <v>1.9975024483034292</v>
      </c>
      <c r="R667" s="3">
        <v>2.3066163459630955E-3</v>
      </c>
      <c r="S667" s="33">
        <v>2.2317420335519114E-2</v>
      </c>
      <c r="T667" s="5">
        <v>45.2</v>
      </c>
      <c r="U667" s="34">
        <v>9.823383333333334E-2</v>
      </c>
      <c r="V667">
        <v>110.42317934106001</v>
      </c>
    </row>
    <row r="668" spans="1:22" ht="16" x14ac:dyDescent="0.2">
      <c r="A668" s="2" t="s">
        <v>59</v>
      </c>
      <c r="B668" s="5">
        <v>2019</v>
      </c>
      <c r="C668" s="4">
        <v>5.0028311882357919</v>
      </c>
      <c r="D668" s="4">
        <v>-0.22963676720634907</v>
      </c>
      <c r="E668" s="9">
        <v>6.271701640734941E-3</v>
      </c>
      <c r="F668" s="4">
        <v>0.9919</v>
      </c>
      <c r="G668" s="4">
        <v>209138</v>
      </c>
      <c r="H668" s="7">
        <v>-12.185556707913621</v>
      </c>
      <c r="I668" s="4">
        <v>21966.27144239</v>
      </c>
      <c r="J668" s="4">
        <v>0.29570000000000002</v>
      </c>
      <c r="K668" s="4">
        <v>50.782499999999999</v>
      </c>
      <c r="L668" s="7">
        <v>1</v>
      </c>
      <c r="M668" s="4">
        <v>391.56569999999999</v>
      </c>
      <c r="N668" s="4">
        <v>12.789238875700146</v>
      </c>
      <c r="O668" s="4">
        <v>4.2830536376246139E-3</v>
      </c>
      <c r="P668" s="7">
        <v>0.32326797101745136</v>
      </c>
      <c r="Q668" s="4">
        <v>1.8835784125324766</v>
      </c>
      <c r="R668" s="3">
        <v>2.281712218879703E-3</v>
      </c>
      <c r="S668" s="33">
        <v>1.5297507443604967E-2</v>
      </c>
      <c r="T668" s="5">
        <v>45.2</v>
      </c>
      <c r="U668" s="34">
        <v>0.16861495833333337</v>
      </c>
      <c r="V668">
        <v>109.009665900863</v>
      </c>
    </row>
    <row r="669" spans="1:22" ht="16" x14ac:dyDescent="0.2">
      <c r="A669" s="2" t="s">
        <v>59</v>
      </c>
      <c r="B669" s="5">
        <v>2020</v>
      </c>
      <c r="C669" s="4">
        <v>4.4221745125435268</v>
      </c>
      <c r="D669" s="4">
        <v>0.27006146226258637</v>
      </c>
      <c r="E669" s="9">
        <v>5.1474728525654247E-3</v>
      </c>
      <c r="F669" s="4">
        <v>0.99339999999999995</v>
      </c>
      <c r="G669" s="4">
        <v>173877</v>
      </c>
      <c r="H669" s="7">
        <v>-16.860159320639962</v>
      </c>
      <c r="I669" s="4">
        <v>21423.709629100002</v>
      </c>
      <c r="J669" s="4">
        <v>0.36709999999999998</v>
      </c>
      <c r="K669" s="4">
        <v>48.260199999999998</v>
      </c>
      <c r="L669" s="7">
        <v>1</v>
      </c>
      <c r="M669" s="4">
        <v>483.26369999999997</v>
      </c>
      <c r="N669" s="4">
        <v>12.845768155135426</v>
      </c>
      <c r="O669" s="4">
        <v>3.6350927533033749E-3</v>
      </c>
      <c r="P669" s="7">
        <v>0.31846821200062264</v>
      </c>
      <c r="Q669" s="4">
        <v>2.0046901661195538</v>
      </c>
      <c r="R669" s="3">
        <v>2.7417964627309372E-3</v>
      </c>
      <c r="S669" s="33">
        <v>-1.3521754698139338E-2</v>
      </c>
      <c r="T669" s="5">
        <v>45.4</v>
      </c>
      <c r="U669" s="34">
        <v>0.19133301666666666</v>
      </c>
      <c r="V669">
        <v>106.77458226243699</v>
      </c>
    </row>
    <row r="670" spans="1:22" ht="16" x14ac:dyDescent="0.2">
      <c r="A670" s="2" t="s">
        <v>59</v>
      </c>
      <c r="B670" s="5">
        <v>2021</v>
      </c>
      <c r="C670" s="4">
        <v>3.6606273760535162</v>
      </c>
      <c r="D670" s="4">
        <v>0.94953224932512681</v>
      </c>
      <c r="E670" s="9">
        <v>-4.9762058478730539E-3</v>
      </c>
      <c r="F670" s="4">
        <v>0.99099999999999999</v>
      </c>
      <c r="G670" s="4">
        <v>151213</v>
      </c>
      <c r="H670" s="7">
        <v>-13.034501400415236</v>
      </c>
      <c r="I670" s="4">
        <v>21166.661198880003</v>
      </c>
      <c r="J670" s="4">
        <v>0.3412</v>
      </c>
      <c r="K670" s="4">
        <v>56.311399999999999</v>
      </c>
      <c r="L670" s="7">
        <v>1</v>
      </c>
      <c r="M670" s="4">
        <v>453.0625</v>
      </c>
      <c r="N670" s="4">
        <v>12.890127170907999</v>
      </c>
      <c r="O670" s="4">
        <v>3.5389133576757843E-3</v>
      </c>
      <c r="P670" s="7">
        <v>0.33031734831991144</v>
      </c>
      <c r="Q670" s="4">
        <v>1.9268756839166175</v>
      </c>
      <c r="R670" s="3">
        <v>2.508446666950187E-3</v>
      </c>
      <c r="S670" s="33">
        <v>-8.566975901496245E-3</v>
      </c>
      <c r="T670" s="5">
        <v>45.6</v>
      </c>
      <c r="U670" s="34">
        <v>8.6284741666666664E-2</v>
      </c>
      <c r="V670">
        <v>109.754323839417</v>
      </c>
    </row>
    <row r="671" spans="1:22" ht="16" x14ac:dyDescent="0.2">
      <c r="A671" s="2" t="s">
        <v>59</v>
      </c>
      <c r="B671" s="5">
        <v>2022</v>
      </c>
      <c r="C671" s="4">
        <v>3.7934245662928276</v>
      </c>
      <c r="D671" s="4">
        <v>-0.54558794810474298</v>
      </c>
      <c r="E671" s="9">
        <v>1.4932983074933825E-2</v>
      </c>
      <c r="F671" s="4">
        <v>0.99490000000000001</v>
      </c>
      <c r="G671" s="4">
        <v>117065</v>
      </c>
      <c r="H671" s="7">
        <v>-22.582714449154505</v>
      </c>
      <c r="I671" s="4">
        <v>30836.312847824996</v>
      </c>
      <c r="J671" s="4">
        <v>0.39229999999999998</v>
      </c>
      <c r="K671" s="4">
        <v>55.587499999999999</v>
      </c>
      <c r="L671" s="7">
        <v>1</v>
      </c>
      <c r="M671" s="4">
        <v>543.25530000000003</v>
      </c>
      <c r="N671" s="4">
        <v>12.797740907555287</v>
      </c>
      <c r="O671" s="4">
        <v>3.2558095005263119E-3</v>
      </c>
      <c r="P671" s="7">
        <v>0.36656327289989987</v>
      </c>
      <c r="Q671" s="4">
        <v>1.4567022875855078</v>
      </c>
      <c r="R671" s="3">
        <v>2.3470782539597051E-3</v>
      </c>
      <c r="S671" s="33">
        <v>-0.15470779172132842</v>
      </c>
      <c r="T671" s="5">
        <v>46.3</v>
      </c>
      <c r="U671" s="34">
        <v>0.19251043333333331</v>
      </c>
      <c r="V671">
        <v>131.49814044376399</v>
      </c>
    </row>
    <row r="672" spans="1:22" x14ac:dyDescent="0.2">
      <c r="A672" s="5" t="s">
        <v>61</v>
      </c>
    </row>
    <row r="673" spans="1:22" ht="16" x14ac:dyDescent="0.2">
      <c r="A673" s="2" t="s">
        <v>60</v>
      </c>
      <c r="B673" s="5">
        <v>2014</v>
      </c>
      <c r="C673" s="12">
        <v>3.4109627322991467</v>
      </c>
      <c r="D673" s="4">
        <v>1.7123526441800976</v>
      </c>
      <c r="E673" s="9">
        <v>-4.1334912112520024E-3</v>
      </c>
      <c r="F673" s="11">
        <v>1.1128</v>
      </c>
      <c r="G673" s="8">
        <v>4.38</v>
      </c>
      <c r="H673" s="7">
        <v>36.874999999999993</v>
      </c>
      <c r="I673" s="4">
        <v>2672.2552143000003</v>
      </c>
      <c r="J673" s="11">
        <v>3.7229999999999999</v>
      </c>
      <c r="K673" s="11">
        <v>47.540799999999997</v>
      </c>
      <c r="L673" s="7">
        <v>1</v>
      </c>
      <c r="M673" s="8">
        <v>187.98249999999999</v>
      </c>
      <c r="N673" s="8">
        <v>9.091323058662427</v>
      </c>
      <c r="O673" s="8">
        <v>1.8170384830250526E-2</v>
      </c>
      <c r="P673" s="7">
        <v>0.19850360742544287</v>
      </c>
      <c r="Q673" s="8">
        <v>0.53928586373933607</v>
      </c>
      <c r="R673" s="3">
        <v>7.0898831159054545E-3</v>
      </c>
      <c r="S673" s="33">
        <v>4.7835816189875625E-2</v>
      </c>
      <c r="T673" s="5">
        <v>43.4</v>
      </c>
      <c r="U673" s="34">
        <v>4.1471583333333333E-2</v>
      </c>
      <c r="V673">
        <v>44.395154304209697</v>
      </c>
    </row>
    <row r="674" spans="1:22" ht="16" x14ac:dyDescent="0.2">
      <c r="A674" s="2" t="s">
        <v>60</v>
      </c>
      <c r="B674" s="5">
        <v>2015</v>
      </c>
      <c r="C674" s="4">
        <v>2.9309040465919289</v>
      </c>
      <c r="D674" s="4">
        <v>1.376773186319153</v>
      </c>
      <c r="E674" s="9">
        <v>3.9141269661770207E-3</v>
      </c>
      <c r="F674" s="4">
        <v>1.0609999999999999</v>
      </c>
      <c r="G674" s="4">
        <v>5.24</v>
      </c>
      <c r="H674" s="7">
        <v>19.63470319634704</v>
      </c>
      <c r="I674" s="4">
        <v>2634.9947520000005</v>
      </c>
      <c r="J674" s="4">
        <v>3.2039</v>
      </c>
      <c r="K674" s="4">
        <v>51.079799999999999</v>
      </c>
      <c r="L674" s="7">
        <v>1</v>
      </c>
      <c r="M674" s="4">
        <v>327.17180000000002</v>
      </c>
      <c r="N674" s="4">
        <v>9.3376543766384525</v>
      </c>
      <c r="O674" s="4">
        <v>1.4246309339409497E-2</v>
      </c>
      <c r="P674" s="7">
        <v>0.17614425973627137</v>
      </c>
      <c r="Q674" s="4">
        <v>0.7186611616301225</v>
      </c>
      <c r="R674" s="3">
        <v>8.3246126290503816E-3</v>
      </c>
      <c r="S674" s="33">
        <v>3.0127105290255505E-2</v>
      </c>
      <c r="T674" s="5">
        <v>45.2</v>
      </c>
      <c r="U674" s="34">
        <v>0.18857363333333335</v>
      </c>
      <c r="V674">
        <v>45.502839942143098</v>
      </c>
    </row>
    <row r="675" spans="1:22" ht="16" x14ac:dyDescent="0.2">
      <c r="A675" s="2" t="s">
        <v>60</v>
      </c>
      <c r="B675" s="5">
        <v>2016</v>
      </c>
      <c r="C675" s="4">
        <v>2.5588075259516265</v>
      </c>
      <c r="D675" s="4">
        <v>23.702105914362811</v>
      </c>
      <c r="E675" s="9">
        <v>-0.21839435076967584</v>
      </c>
      <c r="F675" s="4">
        <v>1.0664</v>
      </c>
      <c r="G675" s="4">
        <v>42.78</v>
      </c>
      <c r="H675" s="7">
        <v>716.41221374045801</v>
      </c>
      <c r="I675" s="4">
        <v>3466.0822136800002</v>
      </c>
      <c r="J675" s="4">
        <v>3.2039</v>
      </c>
      <c r="K675" s="4">
        <v>50.019399999999997</v>
      </c>
      <c r="L675" s="7">
        <v>1</v>
      </c>
      <c r="M675" s="4">
        <v>242.66370000000001</v>
      </c>
      <c r="N675" s="4">
        <v>9.5475290090641476</v>
      </c>
      <c r="O675" s="4">
        <v>1.2917508912434719E-2</v>
      </c>
      <c r="P675" s="7">
        <v>0.20618081047802228</v>
      </c>
      <c r="Q675" s="4">
        <v>0.73665874661379915</v>
      </c>
      <c r="R675" s="3">
        <v>8.4571625588814019E-3</v>
      </c>
      <c r="S675" s="33">
        <v>3.9749702840340337E-2</v>
      </c>
      <c r="T675" s="5">
        <v>46</v>
      </c>
      <c r="U675" s="34">
        <v>0.37347397500000001</v>
      </c>
      <c r="V675">
        <v>47.4924638585099</v>
      </c>
    </row>
    <row r="676" spans="1:22" ht="16" x14ac:dyDescent="0.2">
      <c r="A676" s="2" t="s">
        <v>60</v>
      </c>
      <c r="B676" s="5">
        <v>2017</v>
      </c>
      <c r="C676" s="4">
        <v>2.7183821938973955</v>
      </c>
      <c r="D676" s="4">
        <v>0.15563237658294524</v>
      </c>
      <c r="E676" s="9">
        <v>1.3049463324497256E-2</v>
      </c>
      <c r="F676" s="4">
        <v>1.1216999999999999</v>
      </c>
      <c r="G676" s="4">
        <v>6.31</v>
      </c>
      <c r="H676" s="7">
        <v>-85.250116877045343</v>
      </c>
      <c r="I676" s="4">
        <v>5225.4686056</v>
      </c>
      <c r="J676" s="4">
        <v>3.2039</v>
      </c>
      <c r="K676" s="4">
        <v>49.498699999999999</v>
      </c>
      <c r="L676" s="7">
        <v>1</v>
      </c>
      <c r="M676" s="4">
        <v>149.60550000000001</v>
      </c>
      <c r="N676" s="4">
        <v>9.5384026293647359</v>
      </c>
      <c r="O676" s="4">
        <v>1.0295957195698527E-2</v>
      </c>
      <c r="P676" s="7">
        <v>0.20117766258769693</v>
      </c>
      <c r="Q676" s="4">
        <v>0.78895713298725334</v>
      </c>
      <c r="R676" s="3">
        <v>9.0401666389695427E-3</v>
      </c>
      <c r="S676" s="33">
        <v>3.0925609124340198E-2</v>
      </c>
      <c r="T676" s="5">
        <v>43.6</v>
      </c>
      <c r="U676" s="34">
        <v>0.13549924166666663</v>
      </c>
      <c r="V676">
        <v>50.403719793717698</v>
      </c>
    </row>
    <row r="677" spans="1:22" ht="16" x14ac:dyDescent="0.2">
      <c r="A677" s="2" t="s">
        <v>60</v>
      </c>
      <c r="B677" s="5">
        <v>2018</v>
      </c>
      <c r="C677" s="4">
        <v>2.2044744123098545</v>
      </c>
      <c r="D677" s="4">
        <v>1.7686674826656392</v>
      </c>
      <c r="E677" s="9">
        <v>1.0784583210169397E-4</v>
      </c>
      <c r="F677" s="4">
        <v>1.0097</v>
      </c>
      <c r="G677" s="4">
        <v>5.82</v>
      </c>
      <c r="H677" s="7">
        <v>-7.7654516640253473</v>
      </c>
      <c r="I677" s="4">
        <v>5820.0901792500008</v>
      </c>
      <c r="J677" s="4">
        <v>3.2039</v>
      </c>
      <c r="K677" s="4">
        <v>53.685000000000002</v>
      </c>
      <c r="L677" s="7">
        <v>1</v>
      </c>
      <c r="M677" s="4">
        <v>132.71559999999999</v>
      </c>
      <c r="N677" s="4">
        <v>9.5916313802096873</v>
      </c>
      <c r="O677" s="4">
        <v>1.1888964661159242E-2</v>
      </c>
      <c r="P677" s="7">
        <v>0.11038991325093049</v>
      </c>
      <c r="Q677" s="4">
        <v>1.1882693755383515</v>
      </c>
      <c r="R677" s="3">
        <v>8.6015156282781956E-3</v>
      </c>
      <c r="S677" s="33">
        <v>5.5897215912753283E-2</v>
      </c>
      <c r="T677" s="5">
        <v>45.9</v>
      </c>
      <c r="U677" s="34">
        <v>0.15967181666666666</v>
      </c>
      <c r="V677">
        <v>52.661429953968302</v>
      </c>
    </row>
    <row r="678" spans="1:22" ht="16" x14ac:dyDescent="0.2">
      <c r="A678" s="2" t="s">
        <v>60</v>
      </c>
      <c r="B678" s="5">
        <v>2019</v>
      </c>
      <c r="C678" s="4">
        <v>2.4096707394231909</v>
      </c>
      <c r="D678" s="4">
        <v>2.8272844737856211</v>
      </c>
      <c r="E678" s="9">
        <v>-9.853929738962779E-3</v>
      </c>
      <c r="F678" s="4">
        <v>1.0363</v>
      </c>
      <c r="G678" s="4">
        <v>3.03</v>
      </c>
      <c r="H678" s="7">
        <v>-47.938144329896915</v>
      </c>
      <c r="I678" s="4">
        <v>10530.773629429999</v>
      </c>
      <c r="J678" s="4">
        <v>3.2039</v>
      </c>
      <c r="K678" s="4">
        <v>51.1387</v>
      </c>
      <c r="L678" s="7">
        <v>1</v>
      </c>
      <c r="M678" s="4">
        <v>120.6456</v>
      </c>
      <c r="N678" s="4">
        <v>9.6576213549418739</v>
      </c>
      <c r="O678" s="4">
        <v>1.3046566408073468E-2</v>
      </c>
      <c r="P678" s="7">
        <v>9.5099035953183489E-2</v>
      </c>
      <c r="Q678" s="4">
        <v>1.4009303996707883</v>
      </c>
      <c r="R678" s="3">
        <v>9.0810102041953122E-3</v>
      </c>
      <c r="S678" s="33">
        <v>8.6441425188647905E-2</v>
      </c>
      <c r="T678" s="5">
        <v>45.8</v>
      </c>
      <c r="U678" s="34">
        <v>0.15531761666666663</v>
      </c>
      <c r="V678">
        <v>51.795782651733298</v>
      </c>
    </row>
    <row r="679" spans="1:22" ht="16" x14ac:dyDescent="0.2">
      <c r="A679" s="2" t="s">
        <v>60</v>
      </c>
      <c r="B679" s="5">
        <v>2020</v>
      </c>
      <c r="C679" s="4">
        <v>2.0303119328095263</v>
      </c>
      <c r="D679" s="4">
        <v>1.4511418868549188</v>
      </c>
      <c r="E679" s="9">
        <v>1.6875214839554623E-2</v>
      </c>
      <c r="F679" s="4">
        <v>0.96589999999999998</v>
      </c>
      <c r="G679" s="4">
        <v>2.63</v>
      </c>
      <c r="H679" s="7">
        <v>-13.201320132013199</v>
      </c>
      <c r="I679" s="4">
        <v>41448.008837339999</v>
      </c>
      <c r="J679" s="4">
        <v>3.2039</v>
      </c>
      <c r="K679" s="4">
        <v>39.247999999999998</v>
      </c>
      <c r="L679" s="7">
        <v>1</v>
      </c>
      <c r="M679" s="4">
        <v>54.931699999999999</v>
      </c>
      <c r="N679" s="4">
        <v>9.5176110635319056</v>
      </c>
      <c r="O679" s="4">
        <v>4.6985221073514098E-2</v>
      </c>
      <c r="P679" s="7">
        <v>0.13424931561458101</v>
      </c>
      <c r="Q679" s="4">
        <v>2.328731517361541</v>
      </c>
      <c r="R679" s="3">
        <v>1.0454403775516928E-2</v>
      </c>
      <c r="S679" s="33">
        <v>-3.9998203799255165E-2</v>
      </c>
      <c r="T679" s="5">
        <v>45.5</v>
      </c>
      <c r="U679" s="34">
        <v>0.20053407500000001</v>
      </c>
      <c r="V679">
        <v>49.624096002632797</v>
      </c>
    </row>
    <row r="680" spans="1:22" ht="16" x14ac:dyDescent="0.2">
      <c r="A680" s="2" t="s">
        <v>60</v>
      </c>
      <c r="B680" s="5">
        <v>2021</v>
      </c>
      <c r="C680" s="4">
        <v>2.0047786567295653</v>
      </c>
      <c r="D680" s="4">
        <v>-3.6358353424454268</v>
      </c>
      <c r="E680" s="9">
        <v>5.413225497048138E-2</v>
      </c>
      <c r="F680" s="4">
        <v>0.94950000000000001</v>
      </c>
      <c r="G680" s="4">
        <v>3.53</v>
      </c>
      <c r="H680" s="7">
        <v>34.22053231939163</v>
      </c>
      <c r="I680" s="4">
        <v>38621.717787899994</v>
      </c>
      <c r="J680" s="4">
        <v>3.2039</v>
      </c>
      <c r="K680" s="4">
        <v>60.185299999999998</v>
      </c>
      <c r="L680" s="7">
        <v>1</v>
      </c>
      <c r="M680" s="4">
        <v>26.647200000000002</v>
      </c>
      <c r="N680" s="4">
        <v>9.5253652056848104</v>
      </c>
      <c r="O680" s="4">
        <v>3.897158535785155E-2</v>
      </c>
      <c r="P680" s="7">
        <v>0.17292647718772391</v>
      </c>
      <c r="Q680" s="4">
        <v>0.6197608936355099</v>
      </c>
      <c r="R680" s="3">
        <v>8.9142165348019917E-3</v>
      </c>
      <c r="S680" s="33">
        <v>8.9388014366234975E-2</v>
      </c>
      <c r="T680" s="5">
        <v>46.7</v>
      </c>
      <c r="U680" s="34">
        <v>0.33326032500000008</v>
      </c>
      <c r="V680">
        <v>49.254597728841198</v>
      </c>
    </row>
    <row r="681" spans="1:22" ht="16" x14ac:dyDescent="0.2">
      <c r="A681" s="2" t="s">
        <v>60</v>
      </c>
      <c r="B681" s="5">
        <v>2022</v>
      </c>
      <c r="C681" s="4">
        <v>2.5335439850475034</v>
      </c>
      <c r="D681" s="4">
        <v>1.7765634351431794</v>
      </c>
      <c r="E681" s="9">
        <v>-5.4331670054125827E-3</v>
      </c>
      <c r="F681" s="4">
        <v>0.92849999999999999</v>
      </c>
      <c r="G681" s="4">
        <v>3.42</v>
      </c>
      <c r="H681" s="7">
        <v>-3.1161473087818665</v>
      </c>
      <c r="I681" s="4">
        <v>28660.287161920001</v>
      </c>
      <c r="J681" s="4">
        <v>3.2039</v>
      </c>
      <c r="K681" s="4">
        <v>60.845399999999998</v>
      </c>
      <c r="L681" s="7">
        <v>1</v>
      </c>
      <c r="M681" s="4">
        <v>71.191000000000003</v>
      </c>
      <c r="N681" s="4">
        <v>9.6242599864790908</v>
      </c>
      <c r="O681" s="4">
        <v>3.1744149357418927E-2</v>
      </c>
      <c r="P681" s="7">
        <v>0.14247698764950004</v>
      </c>
      <c r="Q681" s="4">
        <v>0.61341704804322494</v>
      </c>
      <c r="R681" s="3">
        <v>8.567342882229028E-3</v>
      </c>
      <c r="S681" s="33">
        <v>2.5874885310194974E-2</v>
      </c>
      <c r="T681" s="5">
        <v>52.3</v>
      </c>
      <c r="U681" s="34">
        <v>0.29102359166666669</v>
      </c>
      <c r="V681">
        <v>54.477785837204998</v>
      </c>
    </row>
    <row r="682" spans="1:22" x14ac:dyDescent="0.2">
      <c r="A682" s="2"/>
      <c r="C682" s="4"/>
      <c r="F682" s="4"/>
      <c r="G682" s="4"/>
      <c r="I682" s="4"/>
      <c r="J682" s="4"/>
      <c r="K682" s="4"/>
      <c r="L682" s="7"/>
      <c r="M682" s="4"/>
      <c r="N682" s="4"/>
      <c r="O682" s="4"/>
      <c r="Q682" s="4"/>
      <c r="R682" s="3"/>
      <c r="U682" s="34"/>
    </row>
    <row r="683" spans="1:22" ht="16" x14ac:dyDescent="0.2">
      <c r="A683" s="2" t="s">
        <v>89</v>
      </c>
      <c r="B683" s="5">
        <v>2014</v>
      </c>
      <c r="C683" s="4">
        <v>5.6333122663411288</v>
      </c>
      <c r="D683" s="4">
        <v>-0.79651449068354496</v>
      </c>
      <c r="E683" s="9">
        <v>1.7604952799955099E-2</v>
      </c>
      <c r="F683" s="4">
        <v>1.0511999999999999</v>
      </c>
      <c r="G683" s="4">
        <v>6.4571211000000002E-3</v>
      </c>
      <c r="H683" s="7">
        <v>-99.942083763448835</v>
      </c>
      <c r="I683" s="4">
        <v>14866.521557400001</v>
      </c>
      <c r="J683" s="4">
        <v>5.5083000000000002</v>
      </c>
      <c r="K683" s="4">
        <v>62.216799999999999</v>
      </c>
      <c r="L683" s="7">
        <v>1</v>
      </c>
      <c r="M683" s="4">
        <v>13.275</v>
      </c>
      <c r="N683" s="4">
        <v>9.2622141198679984</v>
      </c>
      <c r="O683" s="4">
        <v>1.956484397718446E-2</v>
      </c>
      <c r="P683" s="4">
        <v>0.18187639856171428</v>
      </c>
      <c r="Q683" s="4">
        <v>0.64488909116881998</v>
      </c>
      <c r="R683" s="3">
        <v>6.3003597673353222E-3</v>
      </c>
      <c r="S683" s="33">
        <v>4.7835816189875625E-2</v>
      </c>
      <c r="T683" s="5">
        <v>43.4</v>
      </c>
      <c r="U683" s="34">
        <v>4.1471583333333333E-2</v>
      </c>
      <c r="V683">
        <v>44.395154304209697</v>
      </c>
    </row>
    <row r="684" spans="1:22" ht="16" x14ac:dyDescent="0.2">
      <c r="A684" s="2" t="s">
        <v>89</v>
      </c>
      <c r="B684" s="5">
        <v>2015</v>
      </c>
      <c r="C684" s="4">
        <v>5.452723837407202</v>
      </c>
      <c r="D684" s="4">
        <v>0.19267380546563956</v>
      </c>
      <c r="E684" s="9">
        <v>6.8124293834895709E-3</v>
      </c>
      <c r="F684" s="4">
        <v>1.0185999999999999</v>
      </c>
      <c r="G684" s="4">
        <v>6.3884238000000001E-3</v>
      </c>
      <c r="H684" s="7">
        <v>-1.0638998237155572</v>
      </c>
      <c r="I684" s="4">
        <v>17093.937325080002</v>
      </c>
      <c r="J684" s="4">
        <v>6.4081999999999999</v>
      </c>
      <c r="K684" s="4">
        <v>62.177799999999998</v>
      </c>
      <c r="L684" s="7">
        <v>1</v>
      </c>
      <c r="M684" s="4">
        <v>32.254300000000001</v>
      </c>
      <c r="N684" s="4">
        <v>9.327505679099799</v>
      </c>
      <c r="O684" s="4">
        <v>1.956484397718446E-2</v>
      </c>
      <c r="P684" s="4">
        <v>0.20130653661349468</v>
      </c>
      <c r="Q684" s="4">
        <v>0.65610324167925727</v>
      </c>
      <c r="R684" s="3">
        <v>5.8784011116381769E-4</v>
      </c>
      <c r="S684" s="33">
        <v>3.0127105290255505E-2</v>
      </c>
      <c r="T684" s="5">
        <v>45.2</v>
      </c>
      <c r="U684" s="34">
        <v>0.18857363333333335</v>
      </c>
      <c r="V684">
        <v>45.502839942143098</v>
      </c>
    </row>
    <row r="685" spans="1:22" ht="16" x14ac:dyDescent="0.2">
      <c r="A685" s="2" t="s">
        <v>89</v>
      </c>
      <c r="B685" s="5">
        <v>2016</v>
      </c>
      <c r="C685" s="4">
        <v>5.3086971661050599</v>
      </c>
      <c r="D685" s="4">
        <v>14.475160230297355</v>
      </c>
      <c r="E685" s="9">
        <v>-0.13775086791276678</v>
      </c>
      <c r="F685" s="4">
        <v>1.0197000000000001</v>
      </c>
      <c r="G685" s="4">
        <v>4.3690176000000004E-3</v>
      </c>
      <c r="H685" s="7">
        <v>-31.610398170515857</v>
      </c>
      <c r="I685" s="4">
        <v>14742.051210399999</v>
      </c>
      <c r="J685" s="4">
        <v>5.4593999999999996</v>
      </c>
      <c r="K685" s="4">
        <v>60.7136</v>
      </c>
      <c r="L685" s="7">
        <v>1</v>
      </c>
      <c r="M685" s="4">
        <v>54.215200000000003</v>
      </c>
      <c r="N685" s="4">
        <v>9.4691869798146691</v>
      </c>
      <c r="O685" s="4">
        <v>1.6913078801207435E-2</v>
      </c>
      <c r="P685" s="4">
        <v>0.16924043773772129</v>
      </c>
      <c r="Q685" s="4">
        <v>0.67702197096219496</v>
      </c>
      <c r="R685" s="3">
        <v>7.2653834225018697E-3</v>
      </c>
      <c r="S685" s="33">
        <v>3.9749702840340337E-2</v>
      </c>
      <c r="T685" s="5">
        <v>46</v>
      </c>
      <c r="U685" s="34">
        <v>0.37347397500000001</v>
      </c>
      <c r="V685">
        <v>47.4924638585099</v>
      </c>
    </row>
    <row r="686" spans="1:22" ht="16" x14ac:dyDescent="0.2">
      <c r="A686" s="2" t="s">
        <v>89</v>
      </c>
      <c r="B686" s="5">
        <v>2017</v>
      </c>
      <c r="C686" s="4">
        <v>5.2475992201207378</v>
      </c>
      <c r="D686" s="4">
        <v>-0.18590389054673831</v>
      </c>
      <c r="E686" s="9">
        <v>9.9381811827742809E-3</v>
      </c>
      <c r="F686" s="4">
        <v>1.0077</v>
      </c>
      <c r="G686" s="4">
        <v>6.6717399999999998E-3</v>
      </c>
      <c r="H686" s="7">
        <v>52.705724966637788</v>
      </c>
      <c r="I686" s="4">
        <v>12805.211494879999</v>
      </c>
      <c r="J686" s="4">
        <v>3.5642999999999998</v>
      </c>
      <c r="K686" s="4">
        <v>61.984000000000002</v>
      </c>
      <c r="L686" s="7">
        <v>1</v>
      </c>
      <c r="M686" s="4">
        <v>24.0487</v>
      </c>
      <c r="N686" s="4">
        <v>9.6178936450162791</v>
      </c>
      <c r="O686" s="4">
        <v>1.4589132037127271E-2</v>
      </c>
      <c r="P686" s="4">
        <v>0.17867983054515271</v>
      </c>
      <c r="Q686" s="4">
        <v>0.77334871263205307</v>
      </c>
      <c r="R686" s="3">
        <v>7.1739978673124767E-3</v>
      </c>
      <c r="S686" s="33">
        <v>3.0925609124340198E-2</v>
      </c>
      <c r="T686" s="5">
        <v>43.6</v>
      </c>
      <c r="U686" s="34">
        <v>0.13549924166666663</v>
      </c>
      <c r="V686">
        <v>50.403719793717698</v>
      </c>
    </row>
    <row r="687" spans="1:22" ht="16" x14ac:dyDescent="0.2">
      <c r="A687" s="2" t="s">
        <v>89</v>
      </c>
      <c r="B687" s="5">
        <v>2018</v>
      </c>
      <c r="C687" s="4">
        <v>4.8721912430817946</v>
      </c>
      <c r="D687" s="4">
        <v>0.51640513600175331</v>
      </c>
      <c r="E687" s="9">
        <v>3.3033206418808568E-3</v>
      </c>
      <c r="F687" s="4">
        <v>0.98260000000000003</v>
      </c>
      <c r="G687" s="4">
        <v>7.7898968000000004E-3</v>
      </c>
      <c r="H687" s="7">
        <v>16.759597945963129</v>
      </c>
      <c r="I687" s="4">
        <v>11351.946150999998</v>
      </c>
      <c r="J687" s="4">
        <v>3.4571000000000001</v>
      </c>
      <c r="K687" s="4">
        <v>63.063299999999998</v>
      </c>
      <c r="L687" s="7">
        <v>1</v>
      </c>
      <c r="M687" s="4">
        <v>45.331299999999999</v>
      </c>
      <c r="N687" s="4">
        <v>9.713293529033324</v>
      </c>
      <c r="O687" s="4">
        <v>1.3813520531246064E-2</v>
      </c>
      <c r="P687" s="4">
        <v>0.14511391950664654</v>
      </c>
      <c r="Q687" s="4">
        <v>1.1944099175381442</v>
      </c>
      <c r="R687" s="3">
        <v>7.1025205239840508E-3</v>
      </c>
      <c r="S687" s="33">
        <v>5.5897215912753283E-2</v>
      </c>
      <c r="T687" s="5">
        <v>45.9</v>
      </c>
      <c r="U687" s="34">
        <v>0.15967181666666666</v>
      </c>
      <c r="V687">
        <v>52.661429953968302</v>
      </c>
    </row>
    <row r="688" spans="1:22" ht="16" x14ac:dyDescent="0.2">
      <c r="A688" s="2" t="s">
        <v>89</v>
      </c>
      <c r="B688" s="5">
        <v>2019</v>
      </c>
      <c r="C688" s="4">
        <v>5.3010992492226672</v>
      </c>
      <c r="D688" s="4">
        <v>0.72017689265108364</v>
      </c>
      <c r="E688" s="9">
        <v>1.7641483368317356E-3</v>
      </c>
      <c r="F688" s="4">
        <v>0.97</v>
      </c>
      <c r="G688" s="4">
        <v>1.322541E-2</v>
      </c>
      <c r="H688" s="7">
        <v>69.77644684586835</v>
      </c>
      <c r="I688" s="4">
        <v>17156.173020000002</v>
      </c>
      <c r="J688" s="4">
        <v>3.3784999999999998</v>
      </c>
      <c r="K688" s="4">
        <v>59.202500000000001</v>
      </c>
      <c r="L688" s="7">
        <v>1</v>
      </c>
      <c r="M688" s="4">
        <v>73.590199999999996</v>
      </c>
      <c r="N688" s="4">
        <v>9.8510392492772993</v>
      </c>
      <c r="O688" s="4">
        <v>1.5419565297564148E-2</v>
      </c>
      <c r="P688" s="4">
        <v>0.12690965505312909</v>
      </c>
      <c r="Q688" s="4">
        <v>1.8971842962738314</v>
      </c>
      <c r="R688" s="3">
        <v>7.4517424488690694E-3</v>
      </c>
      <c r="S688" s="33">
        <v>8.6441425188647905E-2</v>
      </c>
      <c r="T688" s="5">
        <v>45.8</v>
      </c>
      <c r="U688" s="34">
        <v>0.15531761666666663</v>
      </c>
      <c r="V688">
        <v>51.795782651733298</v>
      </c>
    </row>
    <row r="689" spans="1:28" ht="16" x14ac:dyDescent="0.2">
      <c r="A689" s="2" t="s">
        <v>89</v>
      </c>
      <c r="B689" s="5">
        <v>2020</v>
      </c>
      <c r="C689" s="4">
        <v>5.7740256424752063</v>
      </c>
      <c r="D689" s="4">
        <v>-0.84566754811600719</v>
      </c>
      <c r="E689" s="9">
        <v>2.5452457683450801E-2</v>
      </c>
      <c r="F689" s="4">
        <v>0.96340000000000003</v>
      </c>
      <c r="G689" s="4">
        <v>2.07733968E-2</v>
      </c>
      <c r="H689" s="7">
        <v>57.071854861210348</v>
      </c>
      <c r="I689" s="4">
        <v>27038.492826059999</v>
      </c>
      <c r="J689" s="4">
        <v>4.0716000000000001</v>
      </c>
      <c r="K689" s="4">
        <v>49.274900000000002</v>
      </c>
      <c r="L689" s="7">
        <v>1</v>
      </c>
      <c r="M689" s="4">
        <v>72.125799999999998</v>
      </c>
      <c r="N689" s="4">
        <v>9.9793963087331274</v>
      </c>
      <c r="O689" s="4">
        <v>2.6435926972910018E-2</v>
      </c>
      <c r="P689" s="4">
        <v>0.18155205512301165</v>
      </c>
      <c r="Q689" s="4">
        <v>0.99886778154852762</v>
      </c>
      <c r="R689" s="3">
        <v>6.8525387951566463E-3</v>
      </c>
      <c r="S689" s="33">
        <v>-3.9998203799255165E-2</v>
      </c>
      <c r="T689" s="5">
        <v>45.5</v>
      </c>
      <c r="U689" s="34">
        <v>0.20053407500000001</v>
      </c>
      <c r="V689">
        <v>49.624096002632797</v>
      </c>
    </row>
    <row r="690" spans="1:28" ht="16" x14ac:dyDescent="0.2">
      <c r="A690" s="2" t="s">
        <v>89</v>
      </c>
      <c r="B690" s="5">
        <v>2021</v>
      </c>
      <c r="C690" s="4">
        <v>6.6704088333951246</v>
      </c>
      <c r="D690" s="4">
        <v>2.5451439433646041</v>
      </c>
      <c r="E690" s="9">
        <v>-1.5148979721720735E-2</v>
      </c>
      <c r="F690" s="4">
        <v>0.95589999999999997</v>
      </c>
      <c r="G690" s="4">
        <v>2.1183660399999998E-2</v>
      </c>
      <c r="H690" s="7">
        <v>1.9749471112013737</v>
      </c>
      <c r="I690" s="4">
        <v>30067.223774459999</v>
      </c>
      <c r="J690" s="4">
        <v>4.2699999999999996</v>
      </c>
      <c r="K690" s="4">
        <v>45.787199999999999</v>
      </c>
      <c r="L690" s="7">
        <v>1</v>
      </c>
      <c r="M690" s="4">
        <v>90.897599999999997</v>
      </c>
      <c r="N690" s="4">
        <v>9.9890349859831229</v>
      </c>
      <c r="O690" s="4">
        <v>2.4535284289331685E-2</v>
      </c>
      <c r="P690" s="4">
        <v>0.15573573819533984</v>
      </c>
      <c r="Q690" s="4">
        <v>0.42435889622825701</v>
      </c>
      <c r="R690" s="3">
        <v>7.2355305752359557E-3</v>
      </c>
      <c r="S690" s="33">
        <v>8.9388014366234975E-2</v>
      </c>
      <c r="T690" s="5">
        <v>46.7</v>
      </c>
      <c r="U690" s="34">
        <v>0.33326032500000008</v>
      </c>
      <c r="V690">
        <v>49.254597728841198</v>
      </c>
    </row>
    <row r="691" spans="1:28" ht="16" x14ac:dyDescent="0.2">
      <c r="A691" s="2" t="s">
        <v>89</v>
      </c>
      <c r="B691" s="5">
        <v>2022</v>
      </c>
      <c r="C691" s="4">
        <v>7.3512778837236787</v>
      </c>
      <c r="D691" s="4">
        <v>0.1400686038309264</v>
      </c>
      <c r="E691" s="9">
        <v>1.0998675274689602E-2</v>
      </c>
      <c r="F691" s="4">
        <v>0.95440000000000003</v>
      </c>
      <c r="G691" s="4">
        <v>1.8281915999999999E-2</v>
      </c>
      <c r="H691" s="7">
        <v>-13.698031148573358</v>
      </c>
      <c r="I691" s="4">
        <v>29744.577015250001</v>
      </c>
      <c r="J691" s="4">
        <v>4.2792000000000003</v>
      </c>
      <c r="K691" s="4">
        <v>43.838900000000002</v>
      </c>
      <c r="L691" s="7">
        <v>1</v>
      </c>
      <c r="M691" s="4">
        <v>73.331199999999995</v>
      </c>
      <c r="N691" s="4">
        <v>10.08086505343603</v>
      </c>
      <c r="O691" s="4">
        <v>2.5247399910904585E-2</v>
      </c>
      <c r="P691" s="4">
        <v>0.11828754358134308</v>
      </c>
      <c r="Q691" s="4">
        <v>0.52825757017535613</v>
      </c>
      <c r="R691" s="3">
        <v>6.733324394458692E-3</v>
      </c>
      <c r="S691" s="33">
        <v>2.5874885310194974E-2</v>
      </c>
      <c r="T691" s="5">
        <v>52.3</v>
      </c>
      <c r="U691" s="34">
        <v>0.29102359166666669</v>
      </c>
      <c r="V691">
        <v>54.477785837204998</v>
      </c>
    </row>
    <row r="692" spans="1:28" x14ac:dyDescent="0.2">
      <c r="A692" s="2"/>
      <c r="C692" s="4"/>
      <c r="D692" s="4"/>
      <c r="E692" s="9"/>
      <c r="F692" s="4"/>
      <c r="G692" s="4"/>
      <c r="I692" s="4"/>
      <c r="J692" s="4"/>
      <c r="K692" s="4"/>
      <c r="L692" s="7"/>
      <c r="M692" s="4"/>
      <c r="N692" s="4"/>
      <c r="O692" s="4"/>
      <c r="P692" s="4"/>
      <c r="Q692" s="4"/>
      <c r="R692" s="3"/>
      <c r="U692" s="34"/>
    </row>
    <row r="693" spans="1:28" ht="16" x14ac:dyDescent="0.2">
      <c r="A693" s="2" t="s">
        <v>94</v>
      </c>
      <c r="B693" s="5">
        <v>2014</v>
      </c>
      <c r="C693" s="4">
        <v>7.3354879319199204</v>
      </c>
      <c r="D693" s="4">
        <v>2.5380355980237663</v>
      </c>
      <c r="E693" s="13">
        <v>-1.2944620288445738E-2</v>
      </c>
      <c r="F693" s="4">
        <v>1.1176999999999999</v>
      </c>
      <c r="G693" s="30">
        <v>91.300800107361795</v>
      </c>
      <c r="H693">
        <v>2.7840617000000002E-2</v>
      </c>
      <c r="I693" s="4">
        <v>36427.381539450005</v>
      </c>
      <c r="J693" s="4">
        <v>3.8679000000000001</v>
      </c>
      <c r="K693" s="4">
        <v>57.930900000000001</v>
      </c>
      <c r="L693" s="7">
        <v>1</v>
      </c>
      <c r="M693" s="4">
        <v>61.441299999999998</v>
      </c>
      <c r="N693" s="4">
        <v>10.637178995452322</v>
      </c>
      <c r="O693" s="4">
        <v>2.3372987616272597E-2</v>
      </c>
      <c r="P693" s="4">
        <v>2.2274165393175026E-2</v>
      </c>
      <c r="Q693" s="4">
        <v>0.45655392047937693</v>
      </c>
      <c r="R693" s="3">
        <v>8.0770483112191892E-3</v>
      </c>
      <c r="S693" s="33">
        <v>4.7835816189875625E-2</v>
      </c>
      <c r="T693" s="5">
        <v>43.4</v>
      </c>
      <c r="U693" s="34">
        <v>4.1471583333333333E-2</v>
      </c>
      <c r="V693">
        <v>44.395154304209697</v>
      </c>
    </row>
    <row r="694" spans="1:28" ht="16" x14ac:dyDescent="0.2">
      <c r="A694" s="2" t="s">
        <v>94</v>
      </c>
      <c r="B694" s="5">
        <v>2015</v>
      </c>
      <c r="C694" s="4">
        <v>7.2910885280471707</v>
      </c>
      <c r="D694" s="4">
        <v>2.2349698745464979</v>
      </c>
      <c r="E694" s="13">
        <v>-7.3073230396289478E-3</v>
      </c>
      <c r="F694" s="4">
        <v>1.093</v>
      </c>
      <c r="G694" s="30">
        <v>78.589463559566369</v>
      </c>
      <c r="H694">
        <v>-0.13922481</v>
      </c>
      <c r="I694" s="4">
        <v>31975.97847808</v>
      </c>
      <c r="J694" s="4">
        <v>3.8047</v>
      </c>
      <c r="K694" s="4">
        <v>59.950699999999998</v>
      </c>
      <c r="L694" s="7">
        <v>1</v>
      </c>
      <c r="M694" s="4">
        <v>48.840400000000002</v>
      </c>
      <c r="N694" s="4">
        <v>10.677093834065888</v>
      </c>
      <c r="O694" s="4">
        <v>2.1595348318786026E-2</v>
      </c>
      <c r="P694" s="4">
        <v>2.1195956923245222E-2</v>
      </c>
      <c r="Q694" s="4">
        <v>0.49469947358344674</v>
      </c>
      <c r="R694" s="3">
        <v>7.6977022236797065E-3</v>
      </c>
      <c r="S694" s="33">
        <v>3.0127105290255505E-2</v>
      </c>
      <c r="T694" s="5">
        <v>45.2</v>
      </c>
      <c r="U694" s="34">
        <v>0.18857363333333335</v>
      </c>
      <c r="V694">
        <v>45.502839942143098</v>
      </c>
    </row>
    <row r="695" spans="1:28" ht="16" x14ac:dyDescent="0.2">
      <c r="A695" s="2" t="s">
        <v>94</v>
      </c>
      <c r="B695" s="5">
        <v>2016</v>
      </c>
      <c r="C695" s="4">
        <v>6.8690732151710057</v>
      </c>
      <c r="D695" s="4">
        <v>6.292041975481065</v>
      </c>
      <c r="E695" s="13">
        <v>-4.7865029387920741E-2</v>
      </c>
      <c r="F695" s="4">
        <v>1.0849</v>
      </c>
      <c r="G695" s="30">
        <v>70.460321519576809</v>
      </c>
      <c r="H695">
        <v>-0.103438065</v>
      </c>
      <c r="I695" s="4">
        <v>36169.046681340005</v>
      </c>
      <c r="J695" s="4">
        <v>3.7932999999999999</v>
      </c>
      <c r="K695" s="4">
        <v>62.972099999999998</v>
      </c>
      <c r="L695" s="7">
        <v>1</v>
      </c>
      <c r="M695" s="4">
        <v>46.220100000000002</v>
      </c>
      <c r="N695" s="4">
        <v>10.755118373505272</v>
      </c>
      <c r="O695" s="4">
        <v>1.8927456468677339E-2</v>
      </c>
      <c r="P695" s="4">
        <v>1.7923333977294165E-2</v>
      </c>
      <c r="Q695" s="4">
        <v>0.49090749819583923</v>
      </c>
      <c r="R695" s="3">
        <v>7.7888188175692548E-3</v>
      </c>
      <c r="S695" s="33">
        <v>3.9749702840340337E-2</v>
      </c>
      <c r="T695" s="5">
        <v>46</v>
      </c>
      <c r="U695" s="34">
        <v>0.37347397500000001</v>
      </c>
      <c r="V695">
        <v>47.4924638585099</v>
      </c>
    </row>
    <row r="696" spans="1:28" ht="16" x14ac:dyDescent="0.2">
      <c r="A696" s="2" t="s">
        <v>94</v>
      </c>
      <c r="B696" s="5">
        <v>2017</v>
      </c>
      <c r="C696" s="4">
        <v>6.5422481110763711</v>
      </c>
      <c r="D696" s="4">
        <v>1.6402622981290709</v>
      </c>
      <c r="E696" s="13">
        <v>-3.591828337634453E-3</v>
      </c>
      <c r="F696" s="4">
        <v>1.159</v>
      </c>
      <c r="G696" s="30">
        <v>76.894450944203058</v>
      </c>
      <c r="H696">
        <v>9.1315641000000003E-2</v>
      </c>
      <c r="I696" s="4">
        <v>39302.124052520005</v>
      </c>
      <c r="J696" s="4">
        <v>4.0115999999999996</v>
      </c>
      <c r="K696" s="4">
        <v>62.268999999999998</v>
      </c>
      <c r="L696" s="7">
        <v>1</v>
      </c>
      <c r="M696" s="4">
        <v>43.736699999999999</v>
      </c>
      <c r="N696" s="4">
        <v>10.885015673157987</v>
      </c>
      <c r="O696" s="4">
        <v>1.8803187392686615E-2</v>
      </c>
      <c r="P696" s="4">
        <v>1.6362032358878772E-2</v>
      </c>
      <c r="Q696" s="4">
        <v>0.48038987448097353</v>
      </c>
      <c r="R696" s="3">
        <v>8.2887463569361209E-3</v>
      </c>
      <c r="S696" s="33">
        <v>3.0925609124340198E-2</v>
      </c>
      <c r="T696" s="5">
        <v>43.6</v>
      </c>
      <c r="U696" s="34">
        <v>0.13549924166666663</v>
      </c>
      <c r="V696">
        <v>50.403719793717698</v>
      </c>
    </row>
    <row r="697" spans="1:28" ht="16" x14ac:dyDescent="0.2">
      <c r="A697" s="2" t="s">
        <v>94</v>
      </c>
      <c r="B697" s="5">
        <v>2018</v>
      </c>
      <c r="C697" s="4">
        <v>6.6584668843256631</v>
      </c>
      <c r="D697" s="4">
        <v>1.8517932790170448</v>
      </c>
      <c r="E697" s="13">
        <v>7.4158471076977148E-4</v>
      </c>
      <c r="F697" s="4">
        <v>1.0827</v>
      </c>
      <c r="G697" s="30">
        <v>95.048696241906441</v>
      </c>
      <c r="H697">
        <v>0.236093048</v>
      </c>
      <c r="I697" s="4">
        <v>38142.344000000005</v>
      </c>
      <c r="J697" s="4">
        <v>4.2775999999999996</v>
      </c>
      <c r="K697" s="4">
        <v>62.989800000000002</v>
      </c>
      <c r="L697" s="7">
        <v>1</v>
      </c>
      <c r="M697" s="4">
        <v>43.767600000000002</v>
      </c>
      <c r="N697" s="4">
        <v>10.963081774183509</v>
      </c>
      <c r="O697" s="4">
        <v>1.4362033699618065E-2</v>
      </c>
      <c r="P697" s="4">
        <v>1.7283862470539302E-2</v>
      </c>
      <c r="Q697" s="4">
        <v>0.70448611558194674</v>
      </c>
      <c r="R697" s="3">
        <v>8.3569240772311069E-3</v>
      </c>
      <c r="S697" s="33">
        <v>5.5897215912753283E-2</v>
      </c>
      <c r="T697" s="5">
        <v>45.9</v>
      </c>
      <c r="U697" s="34">
        <v>0.15967181666666666</v>
      </c>
      <c r="V697">
        <v>52.661429953968302</v>
      </c>
    </row>
    <row r="698" spans="1:28" ht="16" x14ac:dyDescent="0.2">
      <c r="A698" s="2" t="s">
        <v>94</v>
      </c>
      <c r="B698" s="5">
        <v>2019</v>
      </c>
      <c r="C698" s="4">
        <v>8.1462770713678641</v>
      </c>
      <c r="D698" s="4">
        <v>1.943352150111975</v>
      </c>
      <c r="E698" s="13">
        <v>-2.3610688134600212E-3</v>
      </c>
      <c r="F698" s="4">
        <v>1.103</v>
      </c>
      <c r="G698" s="30">
        <v>101.09162060474431</v>
      </c>
      <c r="H698">
        <v>6.3577141000000004E-2</v>
      </c>
      <c r="I698" s="4">
        <v>49755.543474149999</v>
      </c>
      <c r="J698" s="4">
        <v>4.6947000000000001</v>
      </c>
      <c r="K698" s="4">
        <v>59.452399999999997</v>
      </c>
      <c r="L698" s="7">
        <v>1</v>
      </c>
      <c r="M698" s="4">
        <v>48.454700000000003</v>
      </c>
      <c r="N698" s="4">
        <v>11.049208059950121</v>
      </c>
      <c r="O698" s="4">
        <v>1.4776663055487138E-2</v>
      </c>
      <c r="P698" s="4">
        <v>1.9248407877959794E-2</v>
      </c>
      <c r="Q698" s="4">
        <v>0.68732999330513223</v>
      </c>
      <c r="R698" s="3">
        <v>8.895155547612027E-3</v>
      </c>
      <c r="S698" s="33">
        <v>8.6441425188647905E-2</v>
      </c>
      <c r="T698" s="5">
        <v>45.8</v>
      </c>
      <c r="U698" s="34">
        <v>0.15531761666666663</v>
      </c>
      <c r="V698">
        <v>51.795782651733298</v>
      </c>
    </row>
    <row r="699" spans="1:28" ht="16" x14ac:dyDescent="0.2">
      <c r="A699" s="2" t="s">
        <v>94</v>
      </c>
      <c r="B699" s="5">
        <v>2020</v>
      </c>
      <c r="C699" s="4">
        <v>5.1712470263115815</v>
      </c>
      <c r="D699" s="4">
        <v>4.6488427529773233</v>
      </c>
      <c r="E699" s="13">
        <v>-1.049303488779969E-2</v>
      </c>
      <c r="F699" s="4">
        <v>1.0242</v>
      </c>
      <c r="G699" s="30">
        <v>123.15131333017388</v>
      </c>
      <c r="H699">
        <v>0.21821484899999999</v>
      </c>
      <c r="I699" s="4">
        <v>128384.5304781</v>
      </c>
      <c r="J699" s="4">
        <v>4.8785999999999996</v>
      </c>
      <c r="K699" s="4">
        <v>56.145499999999998</v>
      </c>
      <c r="L699" s="7">
        <v>1</v>
      </c>
      <c r="M699" s="4">
        <v>56.344299999999997</v>
      </c>
      <c r="N699" s="4">
        <v>11.160383616584079</v>
      </c>
      <c r="O699" s="4">
        <v>2.5607119887635987E-2</v>
      </c>
      <c r="P699" s="4">
        <v>2.0777947898910118E-2</v>
      </c>
      <c r="Q699" s="4">
        <v>0.50686515298975932</v>
      </c>
      <c r="R699" s="3">
        <v>8.8049617377286352E-3</v>
      </c>
      <c r="S699" s="33">
        <v>-3.9998203799255165E-2</v>
      </c>
      <c r="T699" s="5">
        <v>45.5</v>
      </c>
      <c r="U699" s="34">
        <v>0.20053407500000001</v>
      </c>
      <c r="V699">
        <v>49.624096002632797</v>
      </c>
    </row>
    <row r="700" spans="1:28" ht="16" x14ac:dyDescent="0.2">
      <c r="A700" s="2" t="s">
        <v>94</v>
      </c>
      <c r="B700" s="5">
        <v>2021</v>
      </c>
      <c r="C700" s="4">
        <v>7.0912552669643425</v>
      </c>
      <c r="D700" s="4">
        <v>-11.771459116959189</v>
      </c>
      <c r="E700" s="13">
        <v>0.13876135236729872</v>
      </c>
      <c r="F700" s="4">
        <v>1.0307999999999999</v>
      </c>
      <c r="G700" s="30">
        <v>109.13774164457389</v>
      </c>
      <c r="H700">
        <v>-0.11379149199999999</v>
      </c>
      <c r="I700" s="4">
        <v>136756.49437168002</v>
      </c>
      <c r="J700" s="4">
        <v>4.4695999999999998</v>
      </c>
      <c r="K700" s="4">
        <v>58.518500000000003</v>
      </c>
      <c r="L700" s="7">
        <v>1</v>
      </c>
      <c r="M700" s="4">
        <v>50.999699999999997</v>
      </c>
      <c r="N700" s="4">
        <v>11.170096614217599</v>
      </c>
      <c r="O700" s="4">
        <v>2.8195622510503966E-2</v>
      </c>
      <c r="P700" s="4">
        <v>1.9002657457254588E-2</v>
      </c>
      <c r="Q700" s="4">
        <v>0.24269220511894252</v>
      </c>
      <c r="R700" s="3">
        <v>8.5171751927269907E-3</v>
      </c>
      <c r="S700" s="33">
        <v>8.9388014366234975E-2</v>
      </c>
      <c r="T700" s="5">
        <v>46.7</v>
      </c>
      <c r="U700" s="34">
        <v>0.33326032500000008</v>
      </c>
      <c r="V700">
        <v>49.254597728841198</v>
      </c>
    </row>
    <row r="701" spans="1:28" ht="16" x14ac:dyDescent="0.2">
      <c r="A701" s="2" t="s">
        <v>94</v>
      </c>
      <c r="B701" s="5">
        <v>2022</v>
      </c>
      <c r="C701" s="4">
        <v>8.4433573515988005</v>
      </c>
      <c r="D701" s="4">
        <v>1.0783446006460551</v>
      </c>
      <c r="E701" s="13">
        <v>9.3939257744070932E-3</v>
      </c>
      <c r="F701" s="4">
        <v>1.0253000000000001</v>
      </c>
      <c r="G701" s="30">
        <v>121.45315600000001</v>
      </c>
      <c r="H701">
        <v>0.11284285500000001</v>
      </c>
      <c r="I701" s="4">
        <v>95749.7835796</v>
      </c>
      <c r="J701" s="4">
        <v>4.6641000000000004</v>
      </c>
      <c r="K701" s="4">
        <v>54.813099999999999</v>
      </c>
      <c r="L701" s="7">
        <v>1</v>
      </c>
      <c r="M701" s="4">
        <v>45.992400000000004</v>
      </c>
      <c r="N701" s="4">
        <v>11.200688630092973</v>
      </c>
      <c r="O701" s="4">
        <v>2.9182595832891768E-2</v>
      </c>
      <c r="P701" s="4">
        <v>2.0282014061635469E-2</v>
      </c>
      <c r="Q701" s="4">
        <v>0.27105052959525178</v>
      </c>
      <c r="R701" s="3">
        <v>8.1239500193681768E-3</v>
      </c>
      <c r="S701" s="33">
        <v>2.5874885310194974E-2</v>
      </c>
      <c r="T701" s="5">
        <v>52.3</v>
      </c>
      <c r="U701" s="34">
        <v>0.29102359166666669</v>
      </c>
      <c r="V701">
        <v>54.477785837204998</v>
      </c>
    </row>
    <row r="702" spans="1:28" x14ac:dyDescent="0.2">
      <c r="A702" s="2" t="s">
        <v>98</v>
      </c>
      <c r="C702" s="4"/>
      <c r="D702" s="4"/>
      <c r="E702" s="9"/>
      <c r="F702" s="4"/>
      <c r="G702" s="4"/>
      <c r="I702" s="4"/>
      <c r="J702" s="4"/>
      <c r="K702" s="4"/>
      <c r="L702" s="7"/>
      <c r="M702" s="4"/>
      <c r="N702" s="4"/>
      <c r="O702" s="4"/>
      <c r="P702" s="4"/>
      <c r="Q702" s="4"/>
      <c r="R702" s="3"/>
      <c r="U702" s="34"/>
    </row>
    <row r="703" spans="1:28" ht="16" x14ac:dyDescent="0.2">
      <c r="A703" s="2" t="s">
        <v>62</v>
      </c>
      <c r="B703" s="5">
        <v>2014</v>
      </c>
      <c r="C703" s="4">
        <v>13.609609694287718</v>
      </c>
      <c r="D703" s="4">
        <v>0.91729841857070837</v>
      </c>
      <c r="E703" s="13">
        <v>7.7509649265027703E-3</v>
      </c>
      <c r="F703" s="4">
        <v>1.3361000000000001</v>
      </c>
      <c r="G703" s="4">
        <v>30016.83</v>
      </c>
      <c r="H703" s="7">
        <v>8.8134026448581988</v>
      </c>
      <c r="I703" s="4">
        <v>19664.726487300002</v>
      </c>
      <c r="J703" s="4">
        <v>5.0812999999999997</v>
      </c>
      <c r="K703" s="4">
        <v>63.133099999999999</v>
      </c>
      <c r="L703" s="7">
        <v>1</v>
      </c>
      <c r="M703" s="4">
        <v>153.5367</v>
      </c>
      <c r="N703" s="4">
        <v>9.9237645672927819</v>
      </c>
      <c r="O703" s="4">
        <v>6.7316530638540147E-3</v>
      </c>
      <c r="P703" s="7">
        <v>4.8071015199940295E-2</v>
      </c>
      <c r="Q703" s="4">
        <v>1.7080556589853755</v>
      </c>
      <c r="R703" s="3">
        <v>1.2678502193144776E-2</v>
      </c>
      <c r="S703" s="33">
        <v>9.8240353028793539E-2</v>
      </c>
      <c r="T703" s="33">
        <v>29.2</v>
      </c>
      <c r="U703" s="34">
        <v>0.144828875</v>
      </c>
      <c r="V703">
        <v>61.029514460784299</v>
      </c>
      <c r="W703" s="33"/>
      <c r="X703" s="33"/>
      <c r="Y703" s="33"/>
      <c r="Z703" s="33"/>
      <c r="AA703" s="33"/>
      <c r="AB703" s="33"/>
    </row>
    <row r="704" spans="1:28" ht="16" x14ac:dyDescent="0.2">
      <c r="A704" s="2" t="s">
        <v>62</v>
      </c>
      <c r="B704" s="5">
        <v>2015</v>
      </c>
      <c r="C704" s="4">
        <v>14.655694060309067</v>
      </c>
      <c r="D704" s="4">
        <v>2.6808844660074578</v>
      </c>
      <c r="E704" s="13">
        <v>-9.9290720084969173E-3</v>
      </c>
      <c r="F704" s="4">
        <v>1.5336000000000001</v>
      </c>
      <c r="G704" s="4">
        <v>43972</v>
      </c>
      <c r="H704" s="7">
        <v>46.491151797175114</v>
      </c>
      <c r="I704" s="4">
        <v>22340.409075449999</v>
      </c>
      <c r="J704" s="4">
        <v>5.0251999999999999</v>
      </c>
      <c r="K704" s="4">
        <v>65.811499999999995</v>
      </c>
      <c r="L704" s="7">
        <v>1</v>
      </c>
      <c r="M704" s="4">
        <v>143.9913</v>
      </c>
      <c r="N704" s="4">
        <v>10.079331109825656</v>
      </c>
      <c r="O704" s="4">
        <v>7.0372749429147476E-3</v>
      </c>
      <c r="P704" s="7">
        <v>3.9321375751748794E-2</v>
      </c>
      <c r="Q704" s="4">
        <v>1.5310185657862918</v>
      </c>
      <c r="R704" s="3">
        <v>1.2253729391333944E-2</v>
      </c>
      <c r="S704" s="33">
        <v>3.1612495952536568E-2</v>
      </c>
      <c r="T704" s="32">
        <v>29.3</v>
      </c>
      <c r="U704" s="34">
        <v>0.17680460000000001</v>
      </c>
      <c r="V704">
        <v>64.151944463278596</v>
      </c>
    </row>
    <row r="705" spans="1:22" ht="16" x14ac:dyDescent="0.2">
      <c r="A705" s="2" t="s">
        <v>62</v>
      </c>
      <c r="B705" s="5">
        <v>2016</v>
      </c>
      <c r="C705" s="4">
        <v>11.702628395188249</v>
      </c>
      <c r="D705" s="4">
        <v>-2.1379197720905894</v>
      </c>
      <c r="E705" s="13">
        <v>3.4970174019812401E-2</v>
      </c>
      <c r="F705" s="4">
        <v>1.3798999999999999</v>
      </c>
      <c r="G705" s="4">
        <v>206476.52000000002</v>
      </c>
      <c r="H705" s="7">
        <v>369.56363140180122</v>
      </c>
      <c r="I705" s="4">
        <v>45610.750639409998</v>
      </c>
      <c r="J705" s="4">
        <v>5.1645000000000003</v>
      </c>
      <c r="K705" s="4">
        <v>64.183300000000003</v>
      </c>
      <c r="L705" s="7">
        <v>1</v>
      </c>
      <c r="M705" s="4">
        <v>132.63570000000001</v>
      </c>
      <c r="N705" s="4">
        <v>10.502437863082356</v>
      </c>
      <c r="O705" s="4">
        <v>1.0768334135878342E-2</v>
      </c>
      <c r="P705" s="7">
        <v>4.4190358070766461E-2</v>
      </c>
      <c r="Q705" s="4">
        <v>2.2140814342925328</v>
      </c>
      <c r="R705" s="3">
        <v>1.0766478031472062E-2</v>
      </c>
      <c r="S705" s="33">
        <v>9.0896369032459928E-2</v>
      </c>
      <c r="T705" s="32">
        <v>29.6</v>
      </c>
      <c r="U705" s="34">
        <v>0.16582907499999999</v>
      </c>
      <c r="V705">
        <v>67.195312807389399</v>
      </c>
    </row>
    <row r="706" spans="1:22" ht="16" x14ac:dyDescent="0.2">
      <c r="A706" s="2" t="s">
        <v>62</v>
      </c>
      <c r="B706" s="5">
        <v>2017</v>
      </c>
      <c r="C706" s="4">
        <v>12.529858447036284</v>
      </c>
      <c r="D706" s="4">
        <v>1.7112992670753988</v>
      </c>
      <c r="E706" s="13">
        <v>-5.72017270225694E-3</v>
      </c>
      <c r="F706" s="4">
        <v>1.4419999999999999</v>
      </c>
      <c r="G706" s="4">
        <v>155188.69999999998</v>
      </c>
      <c r="H706" s="7">
        <v>-24.839541077116191</v>
      </c>
      <c r="I706" s="4">
        <v>58644.721935900001</v>
      </c>
      <c r="J706" s="4">
        <v>4.5743999999999998</v>
      </c>
      <c r="K706" s="4">
        <v>62.983400000000003</v>
      </c>
      <c r="L706" s="7">
        <v>1</v>
      </c>
      <c r="M706" s="4">
        <v>130.89150000000001</v>
      </c>
      <c r="N706" s="4">
        <v>10.659127796523123</v>
      </c>
      <c r="O706" s="4">
        <v>1.1010061272585412E-2</v>
      </c>
      <c r="P706" s="7">
        <v>8.1631460327297234E-2</v>
      </c>
      <c r="Q706" s="4">
        <v>1.5626861416437556</v>
      </c>
      <c r="R706" s="3">
        <v>1.086443719216452E-2</v>
      </c>
      <c r="S706" s="33">
        <v>0.15542873309395608</v>
      </c>
      <c r="T706" s="32">
        <v>32.6</v>
      </c>
      <c r="U706" s="34">
        <v>0.18246399999999999</v>
      </c>
      <c r="V706">
        <v>65.121568645066006</v>
      </c>
    </row>
    <row r="707" spans="1:22" ht="16" x14ac:dyDescent="0.2">
      <c r="A707" s="2" t="s">
        <v>62</v>
      </c>
      <c r="B707" s="5">
        <v>2018</v>
      </c>
      <c r="C707" s="4">
        <v>13.246668646085871</v>
      </c>
      <c r="D707" s="4">
        <v>1.1613695802401618</v>
      </c>
      <c r="E707" s="13">
        <v>4.347173442081631E-3</v>
      </c>
      <c r="F707" s="4">
        <v>1.4417</v>
      </c>
      <c r="G707" s="4">
        <v>162650.68</v>
      </c>
      <c r="H707" s="7">
        <v>4.8083268949350124</v>
      </c>
      <c r="I707" s="4">
        <v>62494.359697140004</v>
      </c>
      <c r="J707" s="4">
        <v>4.4574999999999996</v>
      </c>
      <c r="K707" s="4">
        <v>62.143900000000002</v>
      </c>
      <c r="L707" s="7">
        <v>1</v>
      </c>
      <c r="M707" s="4">
        <v>119.01600000000001</v>
      </c>
      <c r="N707" s="4">
        <v>10.856020124739615</v>
      </c>
      <c r="O707" s="4">
        <v>1.0378337170980852E-2</v>
      </c>
      <c r="P707" s="7">
        <v>5.3572401097400184E-2</v>
      </c>
      <c r="Q707" s="4">
        <v>1.3612733580304377</v>
      </c>
      <c r="R707" s="3">
        <v>1.0884862445201161E-2</v>
      </c>
      <c r="S707" s="33">
        <v>1.9406327007352973E-2</v>
      </c>
      <c r="T707" s="32">
        <v>36</v>
      </c>
      <c r="U707" s="34">
        <v>7.0109500000000005E-2</v>
      </c>
      <c r="V707">
        <v>68.389467093542095</v>
      </c>
    </row>
    <row r="708" spans="1:22" ht="16" x14ac:dyDescent="0.2">
      <c r="A708" s="2" t="s">
        <v>62</v>
      </c>
      <c r="B708" s="5">
        <v>2019</v>
      </c>
      <c r="C708" s="4">
        <v>12.902865471436829</v>
      </c>
      <c r="D708" s="4">
        <v>-0.64827727759436671</v>
      </c>
      <c r="E708" s="13">
        <v>2.0369799302430991E-2</v>
      </c>
      <c r="F708" s="4">
        <v>1.4971000000000001</v>
      </c>
      <c r="G708" s="4">
        <v>167116.32999999999</v>
      </c>
      <c r="H708" s="7">
        <v>2.745546468050422</v>
      </c>
      <c r="I708" s="4">
        <v>69083.271456179995</v>
      </c>
      <c r="J708" s="4">
        <v>4.3204000000000002</v>
      </c>
      <c r="K708" s="4">
        <v>62.261800000000001</v>
      </c>
      <c r="L708" s="7">
        <v>1</v>
      </c>
      <c r="M708" s="4">
        <v>117.1671</v>
      </c>
      <c r="N708" s="4">
        <v>10.950878512648137</v>
      </c>
      <c r="O708" s="4">
        <v>1.1865833761815726E-2</v>
      </c>
      <c r="P708" s="7">
        <v>5.9996265743016371E-2</v>
      </c>
      <c r="Q708" s="4">
        <v>1.4359882336557974</v>
      </c>
      <c r="R708" s="3">
        <v>1.0959023258259955E-2</v>
      </c>
      <c r="S708" s="33">
        <v>4.9086221200260238E-2</v>
      </c>
      <c r="T708" s="32">
        <v>36.700000000000003</v>
      </c>
      <c r="U708" s="34">
        <v>0.19089490833333334</v>
      </c>
      <c r="V708">
        <v>70.420340535955106</v>
      </c>
    </row>
    <row r="709" spans="1:22" ht="16" x14ac:dyDescent="0.2">
      <c r="A709" s="2" t="s">
        <v>62</v>
      </c>
      <c r="B709" s="5">
        <v>2020</v>
      </c>
      <c r="C709" s="4">
        <v>13.441394907025629</v>
      </c>
      <c r="D709" s="4">
        <v>1.3320574351811902</v>
      </c>
      <c r="E709" s="13">
        <v>1.5893943642003135E-2</v>
      </c>
      <c r="F709" s="4">
        <v>1.4079999999999999</v>
      </c>
      <c r="G709" s="4">
        <v>145028.69</v>
      </c>
      <c r="H709" s="7">
        <v>-13.216925000686638</v>
      </c>
      <c r="I709" s="4">
        <v>72807.991254320004</v>
      </c>
      <c r="J709" s="4">
        <v>4.4649000000000001</v>
      </c>
      <c r="K709" s="4">
        <v>62.190899999999999</v>
      </c>
      <c r="L709" s="7">
        <v>1</v>
      </c>
      <c r="M709" s="4">
        <v>99.185599999999994</v>
      </c>
      <c r="N709" s="4">
        <v>10.981841526898501</v>
      </c>
      <c r="O709" s="4">
        <v>1.3692630285784713E-2</v>
      </c>
      <c r="P709" s="7">
        <v>0.12197309008568907</v>
      </c>
      <c r="Q709" s="4">
        <v>1.392133723523058</v>
      </c>
      <c r="R709" s="3">
        <v>9.7291727341097031E-3</v>
      </c>
      <c r="S709" s="33">
        <v>-5.7839783974402245E-2</v>
      </c>
      <c r="T709" s="32">
        <v>41.3</v>
      </c>
      <c r="U709" s="34">
        <v>0.12185847500000001</v>
      </c>
      <c r="V709">
        <v>74.099566883605206</v>
      </c>
    </row>
    <row r="710" spans="1:22" ht="16" x14ac:dyDescent="0.2">
      <c r="A710" s="2" t="s">
        <v>62</v>
      </c>
      <c r="B710" s="5">
        <v>2021</v>
      </c>
      <c r="C710" s="4">
        <v>14.311879372490813</v>
      </c>
      <c r="D710" s="4">
        <v>2.9697775380337372</v>
      </c>
      <c r="E710" s="13">
        <v>-1.278207718962051E-2</v>
      </c>
      <c r="F710" s="4">
        <v>1.5483</v>
      </c>
      <c r="G710" s="4">
        <v>152715.14000000001</v>
      </c>
      <c r="H710" s="7">
        <v>5.2999513406623278</v>
      </c>
      <c r="I710" s="4">
        <v>113126.662107</v>
      </c>
      <c r="J710" s="4">
        <v>4.5854999999999997</v>
      </c>
      <c r="K710" s="4">
        <v>64.369200000000006</v>
      </c>
      <c r="L710" s="7">
        <v>1</v>
      </c>
      <c r="M710" s="4">
        <v>59.095100000000002</v>
      </c>
      <c r="N710" s="4">
        <v>11.089067248477214</v>
      </c>
      <c r="O710" s="4">
        <v>1.8374938850903261E-2</v>
      </c>
      <c r="P710" s="7">
        <v>8.0242801793245278E-2</v>
      </c>
      <c r="Q710" s="4">
        <v>0.98467630083412971</v>
      </c>
      <c r="R710" s="3">
        <v>9.2117798928871338E-3</v>
      </c>
      <c r="S710" s="33">
        <v>0.1791856081844693</v>
      </c>
      <c r="T710" s="32">
        <v>39.4</v>
      </c>
      <c r="U710" s="34">
        <v>6.0301849999999997E-2</v>
      </c>
      <c r="V710">
        <v>73.918012815435105</v>
      </c>
    </row>
    <row r="711" spans="1:22" ht="16" x14ac:dyDescent="0.2">
      <c r="A711" s="2" t="s">
        <v>62</v>
      </c>
      <c r="B711" s="5">
        <v>2022</v>
      </c>
      <c r="C711" s="4">
        <v>15.482427753633173</v>
      </c>
      <c r="D711" s="4">
        <v>-0.34138732730563093</v>
      </c>
      <c r="E711" s="13">
        <v>1.9254945647945026E-2</v>
      </c>
      <c r="F711" s="4">
        <v>1.4591000000000001</v>
      </c>
      <c r="G711" s="4">
        <v>219608.65</v>
      </c>
      <c r="H711" s="7">
        <v>43.802801739238149</v>
      </c>
      <c r="I711" s="4">
        <v>96610.491830600004</v>
      </c>
      <c r="J711" s="4">
        <v>4.6372</v>
      </c>
      <c r="K711" s="4">
        <v>62.233899999999998</v>
      </c>
      <c r="L711" s="7">
        <v>1</v>
      </c>
      <c r="M711" s="4">
        <v>60.162300000000002</v>
      </c>
      <c r="N711" s="4">
        <v>11.184281586836178</v>
      </c>
      <c r="O711" s="4">
        <v>1.5307013409720047E-2</v>
      </c>
      <c r="P711" s="7">
        <v>7.3051848786840359E-2</v>
      </c>
      <c r="Q711" s="4">
        <v>0.72443676330347995</v>
      </c>
      <c r="R711" s="3">
        <v>9.9716171887166936E-3</v>
      </c>
      <c r="S711" s="33">
        <v>7.452704133482646E-2</v>
      </c>
      <c r="T711" s="32">
        <v>40.9</v>
      </c>
      <c r="U711" s="34">
        <v>0.19755554166666667</v>
      </c>
      <c r="V711">
        <v>78.604490582991602</v>
      </c>
    </row>
    <row r="712" spans="1:22" x14ac:dyDescent="0.2">
      <c r="T712" s="32"/>
      <c r="U712" s="34"/>
    </row>
    <row r="713" spans="1:22" ht="16" x14ac:dyDescent="0.2">
      <c r="A713" s="2" t="s">
        <v>71</v>
      </c>
      <c r="B713" s="5">
        <v>2014</v>
      </c>
      <c r="C713" s="8">
        <v>4.1573826040199453</v>
      </c>
      <c r="D713" s="4">
        <v>2.4785860237464616</v>
      </c>
      <c r="E713" s="6">
        <v>-7.9424279633264223E-3</v>
      </c>
      <c r="F713" s="8">
        <v>1.0901000000000001</v>
      </c>
      <c r="G713" s="4">
        <v>6204799.9999999991</v>
      </c>
      <c r="H713" s="7">
        <v>-0.88036409999999987</v>
      </c>
      <c r="I713" s="4">
        <v>127774.39481856</v>
      </c>
      <c r="J713" s="8">
        <v>2.9773000000000001</v>
      </c>
      <c r="K713" s="8">
        <v>43.912500000000001</v>
      </c>
      <c r="L713" s="7">
        <v>1</v>
      </c>
      <c r="M713" s="8">
        <v>240.63810000000001</v>
      </c>
      <c r="N713" s="8">
        <v>11.734891029930873</v>
      </c>
      <c r="O713" s="8">
        <v>2.3081171755986292E-2</v>
      </c>
      <c r="P713" s="8">
        <v>5.4574504477994376E-2</v>
      </c>
      <c r="Q713" s="8">
        <v>1.8248061184140529</v>
      </c>
      <c r="R713" s="3">
        <v>1.1028624358084311E-2</v>
      </c>
      <c r="S713" s="33">
        <v>9.8240353028793539E-2</v>
      </c>
      <c r="T713" s="33">
        <v>29.2</v>
      </c>
      <c r="U713" s="34">
        <v>0.144828875</v>
      </c>
      <c r="V713">
        <v>61.029514460784299</v>
      </c>
    </row>
    <row r="714" spans="1:22" ht="16" x14ac:dyDescent="0.2">
      <c r="A714" s="2" t="s">
        <v>71</v>
      </c>
      <c r="B714" s="5">
        <v>2015</v>
      </c>
      <c r="C714" s="8">
        <v>4.1691005671879866</v>
      </c>
      <c r="D714" s="4">
        <v>2.7739479590468119</v>
      </c>
      <c r="E714" s="6">
        <v>-7.7590166378589268E-3</v>
      </c>
      <c r="F714" s="8">
        <v>1.1189</v>
      </c>
      <c r="G714" s="4">
        <v>6951330</v>
      </c>
      <c r="H714" s="7">
        <v>12.0314917</v>
      </c>
      <c r="I714" s="4">
        <v>276690.36509730003</v>
      </c>
      <c r="J714" s="8">
        <v>4.0846999999999998</v>
      </c>
      <c r="K714" s="8">
        <v>42.682699999999997</v>
      </c>
      <c r="L714" s="7">
        <v>1</v>
      </c>
      <c r="M714" s="8">
        <v>248.30009999999999</v>
      </c>
      <c r="N714" s="8">
        <v>11.79492671631945</v>
      </c>
      <c r="O714" s="8">
        <v>2.7205300909691654E-2</v>
      </c>
      <c r="P714" s="8">
        <v>4.7774747748867023E-2</v>
      </c>
      <c r="Q714" s="8">
        <v>1.7627521097334442</v>
      </c>
      <c r="R714" s="3">
        <v>1.1678901679751432E-2</v>
      </c>
      <c r="S714" s="33">
        <v>3.1612495952536568E-2</v>
      </c>
      <c r="T714" s="32">
        <v>29.3</v>
      </c>
      <c r="U714" s="34">
        <v>0.17680460000000001</v>
      </c>
      <c r="V714">
        <v>64.151944463278596</v>
      </c>
    </row>
    <row r="715" spans="1:22" ht="16" x14ac:dyDescent="0.2">
      <c r="A715" s="2" t="s">
        <v>71</v>
      </c>
      <c r="B715" s="5">
        <v>2016</v>
      </c>
      <c r="C715" s="8">
        <v>3.1935099620289034</v>
      </c>
      <c r="D715" s="4">
        <v>3.072837571483737</v>
      </c>
      <c r="E715" s="6">
        <v>-8.0826795510993941E-3</v>
      </c>
      <c r="F715" s="8">
        <v>1.0472999999999999</v>
      </c>
      <c r="G715" s="15">
        <v>7442139.9999999991</v>
      </c>
      <c r="H715" s="7">
        <v>7.0606632000000005</v>
      </c>
      <c r="I715" s="4">
        <v>435729.05736450001</v>
      </c>
      <c r="J715" s="8">
        <v>3.1038999999999999</v>
      </c>
      <c r="K715" s="8">
        <v>49.752899999999997</v>
      </c>
      <c r="L715" s="7">
        <v>1</v>
      </c>
      <c r="M715" s="8">
        <v>231.0745</v>
      </c>
      <c r="N715" s="8">
        <v>11.841477094811133</v>
      </c>
      <c r="O715" s="8">
        <v>3.1507878183066503E-2</v>
      </c>
      <c r="P715" s="8">
        <v>6.3734481471168572E-2</v>
      </c>
      <c r="Q715" s="8">
        <v>2.3766459197375949</v>
      </c>
      <c r="R715" s="3">
        <v>1.1301649238860017E-2</v>
      </c>
      <c r="S715" s="33">
        <v>9.0896369032459928E-2</v>
      </c>
      <c r="T715" s="32">
        <v>29.6</v>
      </c>
      <c r="U715" s="34">
        <v>0.16582907499999999</v>
      </c>
      <c r="V715">
        <v>67.195312807389399</v>
      </c>
    </row>
    <row r="716" spans="1:22" ht="16" x14ac:dyDescent="0.2">
      <c r="A716" s="2" t="s">
        <v>71</v>
      </c>
      <c r="B716" s="5">
        <v>2017</v>
      </c>
      <c r="C716" s="8">
        <v>2.9627064084850425</v>
      </c>
      <c r="D716" s="4">
        <v>1.0770125405736037</v>
      </c>
      <c r="E716" s="6">
        <v>6.5782300167295891E-3</v>
      </c>
      <c r="F716" s="8">
        <v>1.0573999999999999</v>
      </c>
      <c r="G716" s="4">
        <v>8814360</v>
      </c>
      <c r="H716" s="7">
        <v>18.438513700000001</v>
      </c>
      <c r="I716" s="4">
        <v>656015.07475135999</v>
      </c>
      <c r="J716" s="8">
        <v>4.2153999999999998</v>
      </c>
      <c r="K716" s="8">
        <v>40.804499999999997</v>
      </c>
      <c r="L716" s="7">
        <v>1</v>
      </c>
      <c r="M716" s="8">
        <v>179.54310000000001</v>
      </c>
      <c r="N716" s="8">
        <v>11.931424660434796</v>
      </c>
      <c r="O716" s="8">
        <v>3.7369740293261351E-2</v>
      </c>
      <c r="P716" s="8">
        <v>7.6314273114444151E-2</v>
      </c>
      <c r="Q716" s="8">
        <v>2.5226265968272839</v>
      </c>
      <c r="R716" s="3">
        <v>1.044352416532069E-2</v>
      </c>
      <c r="S716" s="33">
        <v>0.15542873309395608</v>
      </c>
      <c r="T716" s="32">
        <v>32.6</v>
      </c>
      <c r="U716" s="34">
        <v>0.18246399999999999</v>
      </c>
      <c r="V716">
        <v>65.121568645066006</v>
      </c>
    </row>
    <row r="717" spans="1:22" ht="16" x14ac:dyDescent="0.2">
      <c r="A717" s="2" t="s">
        <v>71</v>
      </c>
      <c r="B717" s="5">
        <v>2018</v>
      </c>
      <c r="C717" s="8">
        <v>2.0941050956798297</v>
      </c>
      <c r="D717" s="4">
        <v>1.3900839493137271</v>
      </c>
      <c r="E717" s="6">
        <v>5.8498227286875723E-3</v>
      </c>
      <c r="F717" s="8">
        <v>1.0608</v>
      </c>
      <c r="G717" s="4">
        <v>11336607</v>
      </c>
      <c r="H717" s="7">
        <v>28.615202899999996</v>
      </c>
      <c r="I717" s="4">
        <v>829955.51693378994</v>
      </c>
      <c r="J717" s="8">
        <v>3.8740999999999999</v>
      </c>
      <c r="K717" s="8">
        <v>47.618699999999997</v>
      </c>
      <c r="L717" s="7">
        <v>1</v>
      </c>
      <c r="M717" s="8">
        <v>202.9434</v>
      </c>
      <c r="N717" s="8">
        <v>12.058700606963086</v>
      </c>
      <c r="O717" s="8">
        <v>4.6384258161200627E-2</v>
      </c>
      <c r="P717" s="8">
        <v>6.9035797204678992E-2</v>
      </c>
      <c r="Q717" s="8">
        <v>3.1208413918122231</v>
      </c>
      <c r="R717" s="3">
        <v>1.0147316038500324E-2</v>
      </c>
      <c r="S717" s="33">
        <v>1.9406327007352973E-2</v>
      </c>
      <c r="T717" s="32">
        <v>36</v>
      </c>
      <c r="U717" s="34">
        <v>7.0109500000000005E-2</v>
      </c>
      <c r="V717">
        <v>68.389467093542095</v>
      </c>
    </row>
    <row r="718" spans="1:22" ht="16" x14ac:dyDescent="0.2">
      <c r="A718" s="2" t="s">
        <v>71</v>
      </c>
      <c r="B718" s="5">
        <v>2019</v>
      </c>
      <c r="C718" s="8">
        <v>1.1480754981905112</v>
      </c>
      <c r="D718" s="4">
        <v>0.63464135750566819</v>
      </c>
      <c r="E718" s="6">
        <v>1.142379095124018E-2</v>
      </c>
      <c r="F718" s="8">
        <v>1.1162000000000001</v>
      </c>
      <c r="G718" s="4">
        <v>17566162</v>
      </c>
      <c r="H718" s="7">
        <v>54.950789099999994</v>
      </c>
      <c r="I718" s="4">
        <v>700621.46580678003</v>
      </c>
      <c r="J718" s="8">
        <v>4.0942999999999996</v>
      </c>
      <c r="K718" s="8">
        <v>52.435200000000002</v>
      </c>
      <c r="L718" s="7">
        <v>1</v>
      </c>
      <c r="M718" s="8">
        <v>181.1935</v>
      </c>
      <c r="N718" s="8">
        <v>12.093452819163296</v>
      </c>
      <c r="O718" s="8">
        <v>5.0593912445350386E-2</v>
      </c>
      <c r="P718" s="8">
        <v>6.2278443400659009E-2</v>
      </c>
      <c r="Q718" s="8">
        <v>5.2883591348912704</v>
      </c>
      <c r="R718" s="3">
        <v>1.000178320185712E-2</v>
      </c>
      <c r="S718" s="33">
        <v>4.9086221200260238E-2</v>
      </c>
      <c r="T718" s="32">
        <v>36.700000000000003</v>
      </c>
      <c r="U718" s="34">
        <v>0.19089490833333334</v>
      </c>
      <c r="V718">
        <v>70.420340535955106</v>
      </c>
    </row>
    <row r="719" spans="1:22" ht="16" x14ac:dyDescent="0.2">
      <c r="A719" s="2" t="s">
        <v>71</v>
      </c>
      <c r="B719" s="5">
        <v>2020</v>
      </c>
      <c r="C719" s="8">
        <v>2.0709391396468186</v>
      </c>
      <c r="D719" s="4">
        <v>2.0321731249267492</v>
      </c>
      <c r="E719" s="6">
        <v>1.3905672090163362E-2</v>
      </c>
      <c r="F719" s="8">
        <v>1.0629</v>
      </c>
      <c r="G719" s="4">
        <v>23649552</v>
      </c>
      <c r="H719" s="7">
        <v>34.6312985</v>
      </c>
      <c r="I719" s="4">
        <v>581661.32682144002</v>
      </c>
      <c r="J719" s="8">
        <v>4.4659000000000004</v>
      </c>
      <c r="K719" s="8">
        <v>55.961500000000001</v>
      </c>
      <c r="L719" s="7">
        <v>0</v>
      </c>
      <c r="M719" s="8">
        <v>169.22069999999999</v>
      </c>
      <c r="N719" s="8">
        <v>12.115756664528162</v>
      </c>
      <c r="O719" s="8">
        <v>4.47908259705447E-2</v>
      </c>
      <c r="P719" s="8">
        <v>8.7753084544365811E-2</v>
      </c>
      <c r="Q719" s="8">
        <v>2.4028438930043423</v>
      </c>
      <c r="R719" s="3">
        <v>9.2329879222483695E-3</v>
      </c>
      <c r="S719" s="33">
        <v>-5.7839783974402245E-2</v>
      </c>
      <c r="T719" s="32">
        <v>41.3</v>
      </c>
      <c r="U719" s="34">
        <v>0.12185847500000001</v>
      </c>
      <c r="V719">
        <v>74.099566883605206</v>
      </c>
    </row>
    <row r="720" spans="1:22" ht="16" x14ac:dyDescent="0.2">
      <c r="A720" s="2" t="s">
        <v>71</v>
      </c>
      <c r="B720" s="5">
        <v>2021</v>
      </c>
      <c r="C720" s="8">
        <v>3.3920426913884838</v>
      </c>
      <c r="D720" s="4">
        <v>-1.2381934131380166</v>
      </c>
      <c r="E720" s="6">
        <v>3.2090760087440752E-2</v>
      </c>
      <c r="F720" s="8">
        <v>1.1556999999999999</v>
      </c>
      <c r="G720" s="4">
        <v>25062638.039999999</v>
      </c>
      <c r="H720" s="7">
        <v>5.9751070000000004</v>
      </c>
      <c r="I720" s="4">
        <v>583671.02401220996</v>
      </c>
      <c r="J720" s="8">
        <v>4.3799000000000001</v>
      </c>
      <c r="K720" s="8">
        <v>48.286700000000003</v>
      </c>
      <c r="L720" s="7">
        <v>1</v>
      </c>
      <c r="M720" s="8">
        <v>93.778700000000001</v>
      </c>
      <c r="N720" s="8">
        <v>12.278927181782654</v>
      </c>
      <c r="O720" s="8">
        <v>3.9844559991614806E-2</v>
      </c>
      <c r="P720" s="8">
        <v>8.2023946410162543E-2</v>
      </c>
      <c r="Q720" s="8">
        <v>1.6480839647117287</v>
      </c>
      <c r="R720" s="3">
        <v>8.5907366589029668E-3</v>
      </c>
      <c r="S720" s="33">
        <v>0.1791856081844693</v>
      </c>
      <c r="T720" s="32">
        <v>39.4</v>
      </c>
      <c r="U720" s="34">
        <v>6.0301849999999997E-2</v>
      </c>
      <c r="V720">
        <v>73.918012815435105</v>
      </c>
    </row>
    <row r="721" spans="1:22" ht="16" x14ac:dyDescent="0.2">
      <c r="A721" s="2" t="s">
        <v>71</v>
      </c>
      <c r="B721" s="5">
        <v>2022</v>
      </c>
      <c r="C721" s="8">
        <v>4.056497364107182</v>
      </c>
      <c r="D721" s="4">
        <v>1.8473990494648209</v>
      </c>
      <c r="E721" s="6">
        <v>-4.0730849765653332E-3</v>
      </c>
      <c r="F721" s="8">
        <v>1.1857</v>
      </c>
      <c r="G721" s="4">
        <v>37056016.612999998</v>
      </c>
      <c r="H721" s="7">
        <v>47.853616000000002</v>
      </c>
      <c r="I721" s="4">
        <v>455145.33578090003</v>
      </c>
      <c r="J721" s="8">
        <v>4.5073999999999996</v>
      </c>
      <c r="K721" s="8">
        <v>46.898899999999998</v>
      </c>
      <c r="L721" s="7">
        <v>1</v>
      </c>
      <c r="M721" s="8">
        <v>92.906999999999996</v>
      </c>
      <c r="N721" s="8">
        <v>12.349628115979083</v>
      </c>
      <c r="O721" s="8">
        <v>2.8709482023861168E-2</v>
      </c>
      <c r="P721" s="8">
        <v>8.9059017068466584E-2</v>
      </c>
      <c r="Q721" s="8">
        <v>1.2022529404896871</v>
      </c>
      <c r="R721" s="3">
        <v>8.681881915354633E-3</v>
      </c>
      <c r="S721" s="33">
        <v>7.452704133482646E-2</v>
      </c>
      <c r="T721" s="32">
        <v>40.9</v>
      </c>
      <c r="U721" s="34">
        <v>0.19755554166666667</v>
      </c>
      <c r="V721">
        <v>78.604490582991602</v>
      </c>
    </row>
    <row r="722" spans="1:22" x14ac:dyDescent="0.2">
      <c r="A722" s="2"/>
      <c r="D722" s="4"/>
      <c r="I722" s="4"/>
      <c r="U722" s="34"/>
    </row>
    <row r="723" spans="1:22" ht="16" x14ac:dyDescent="0.2">
      <c r="A723" s="2" t="s">
        <v>72</v>
      </c>
      <c r="B723" s="5">
        <v>2014</v>
      </c>
      <c r="C723" s="8">
        <v>13.609609694287718</v>
      </c>
      <c r="D723" s="4">
        <v>0.91729841857070837</v>
      </c>
      <c r="E723" s="6">
        <v>7.7509649265027703E-3</v>
      </c>
      <c r="F723" s="8">
        <v>1.3361000000000001</v>
      </c>
      <c r="G723" s="4">
        <v>30016.83</v>
      </c>
      <c r="H723" s="7">
        <v>8.8134026448581988</v>
      </c>
      <c r="I723" s="4">
        <v>19664.726487300002</v>
      </c>
      <c r="J723" s="8">
        <v>5.0812999999999997</v>
      </c>
      <c r="K723" s="8">
        <v>63.133099999999999</v>
      </c>
      <c r="L723" s="7">
        <v>1</v>
      </c>
      <c r="M723" s="8">
        <v>153.5367</v>
      </c>
      <c r="N723" s="8">
        <v>9.9237645672927819</v>
      </c>
      <c r="O723" s="8">
        <v>6.7316530638540147E-3</v>
      </c>
      <c r="P723" s="8">
        <v>4.8071015199940295E-2</v>
      </c>
      <c r="Q723" s="8">
        <v>1.7080556589853755</v>
      </c>
      <c r="R723" s="3">
        <v>1.2678502193144776E-2</v>
      </c>
      <c r="S723" s="33">
        <v>9.8240353028793539E-2</v>
      </c>
      <c r="T723" s="33">
        <v>29.2</v>
      </c>
      <c r="U723" s="34">
        <v>0.144828875</v>
      </c>
      <c r="V723">
        <v>61.029514460784299</v>
      </c>
    </row>
    <row r="724" spans="1:22" ht="16" x14ac:dyDescent="0.2">
      <c r="A724" s="2" t="s">
        <v>72</v>
      </c>
      <c r="B724" s="5">
        <v>2015</v>
      </c>
      <c r="C724" s="8">
        <v>14.655694060309067</v>
      </c>
      <c r="D724" s="4">
        <v>2.6808844660074578</v>
      </c>
      <c r="E724" s="6">
        <v>-9.9290720084969173E-3</v>
      </c>
      <c r="F724" s="8">
        <v>1.5336000000000001</v>
      </c>
      <c r="G724" s="4">
        <v>43972</v>
      </c>
      <c r="H724" s="7">
        <v>46.491151797175114</v>
      </c>
      <c r="I724" s="4">
        <v>22340.409075449999</v>
      </c>
      <c r="J724" s="8">
        <v>5.0251999999999999</v>
      </c>
      <c r="K724" s="8">
        <v>65.811499999999995</v>
      </c>
      <c r="L724" s="7">
        <v>1</v>
      </c>
      <c r="M724" s="8">
        <v>143.9913</v>
      </c>
      <c r="N724" s="8">
        <v>10.079331109825656</v>
      </c>
      <c r="O724" s="8">
        <v>7.0372749429147476E-3</v>
      </c>
      <c r="P724" s="8">
        <v>3.9321375751748794E-2</v>
      </c>
      <c r="Q724" s="8">
        <v>1.5310185657862918</v>
      </c>
      <c r="R724" s="3">
        <v>1.2253729391333944E-2</v>
      </c>
      <c r="S724" s="33">
        <v>3.1612495952536568E-2</v>
      </c>
      <c r="T724" s="32">
        <v>29.3</v>
      </c>
      <c r="U724" s="34">
        <v>0.17680460000000001</v>
      </c>
      <c r="V724">
        <v>64.151944463278596</v>
      </c>
    </row>
    <row r="725" spans="1:22" ht="16" x14ac:dyDescent="0.2">
      <c r="A725" s="2" t="s">
        <v>72</v>
      </c>
      <c r="B725" s="5">
        <v>2016</v>
      </c>
      <c r="C725" s="8">
        <v>11.702628395188249</v>
      </c>
      <c r="D725" s="4">
        <v>-2.1379197720905894</v>
      </c>
      <c r="E725" s="6">
        <v>3.4970174019812401E-2</v>
      </c>
      <c r="F725" s="8">
        <v>1.3798999999999999</v>
      </c>
      <c r="G725" s="4">
        <v>206476.52000000002</v>
      </c>
      <c r="H725" s="7">
        <v>369.56363140180122</v>
      </c>
      <c r="I725" s="4">
        <v>45610.750639409998</v>
      </c>
      <c r="J725" s="8">
        <v>5.1645000000000003</v>
      </c>
      <c r="K725" s="8">
        <v>64.183300000000003</v>
      </c>
      <c r="L725" s="7">
        <v>1</v>
      </c>
      <c r="M725" s="8">
        <v>132.63570000000001</v>
      </c>
      <c r="N725" s="8">
        <v>10.502437863082356</v>
      </c>
      <c r="O725" s="8">
        <v>1.0768334135878342E-2</v>
      </c>
      <c r="P725" s="8">
        <v>4.4190358070766461E-2</v>
      </c>
      <c r="Q725" s="8">
        <v>2.2140814342925328</v>
      </c>
      <c r="R725" s="3">
        <v>1.0766478031472062E-2</v>
      </c>
      <c r="S725" s="33">
        <v>9.0896369032459928E-2</v>
      </c>
      <c r="T725" s="32">
        <v>29.6</v>
      </c>
      <c r="U725" s="34">
        <v>0.16582907499999999</v>
      </c>
      <c r="V725">
        <v>67.195312807389399</v>
      </c>
    </row>
    <row r="726" spans="1:22" ht="16" x14ac:dyDescent="0.2">
      <c r="A726" s="2" t="s">
        <v>72</v>
      </c>
      <c r="B726" s="5">
        <v>2017</v>
      </c>
      <c r="C726" s="8">
        <v>12.529858447036284</v>
      </c>
      <c r="D726" s="4">
        <v>1.7112992670753988</v>
      </c>
      <c r="E726" s="6">
        <v>-5.72017270225694E-3</v>
      </c>
      <c r="F726" s="8">
        <v>1.4419999999999999</v>
      </c>
      <c r="G726" s="4">
        <v>155188.69999999998</v>
      </c>
      <c r="H726" s="7">
        <v>-24.839541077116191</v>
      </c>
      <c r="I726" s="4">
        <v>58644.721935900001</v>
      </c>
      <c r="J726" s="8">
        <v>4.5743999999999998</v>
      </c>
      <c r="K726" s="8">
        <v>62.983400000000003</v>
      </c>
      <c r="L726" s="7">
        <v>1</v>
      </c>
      <c r="M726" s="8">
        <v>130.89150000000001</v>
      </c>
      <c r="N726" s="8">
        <v>10.659127796523123</v>
      </c>
      <c r="O726" s="8">
        <v>1.1010061272585412E-2</v>
      </c>
      <c r="P726" s="8">
        <v>8.1631460327297234E-2</v>
      </c>
      <c r="Q726" s="8">
        <v>1.5626861416437556</v>
      </c>
      <c r="R726" s="3">
        <v>1.086443719216452E-2</v>
      </c>
      <c r="S726" s="33">
        <v>0.15542873309395608</v>
      </c>
      <c r="T726" s="32">
        <v>32.6</v>
      </c>
      <c r="U726" s="34">
        <v>0.18246399999999999</v>
      </c>
      <c r="V726">
        <v>65.121568645066006</v>
      </c>
    </row>
    <row r="727" spans="1:22" ht="16" x14ac:dyDescent="0.2">
      <c r="A727" s="2" t="s">
        <v>72</v>
      </c>
      <c r="B727" s="5">
        <v>2018</v>
      </c>
      <c r="C727" s="8">
        <v>13.246668646085871</v>
      </c>
      <c r="D727" s="4">
        <v>1.1613695802401618</v>
      </c>
      <c r="E727" s="6">
        <v>4.347173442081631E-3</v>
      </c>
      <c r="F727" s="8">
        <v>1.4417</v>
      </c>
      <c r="G727" s="4">
        <v>162650.68</v>
      </c>
      <c r="H727" s="7">
        <v>4.8083268949350124</v>
      </c>
      <c r="I727" s="4">
        <v>62494.359697140004</v>
      </c>
      <c r="J727" s="8">
        <v>4.4574999999999996</v>
      </c>
      <c r="K727" s="8">
        <v>62.143900000000002</v>
      </c>
      <c r="L727" s="7">
        <v>1</v>
      </c>
      <c r="M727" s="8">
        <v>119.01600000000001</v>
      </c>
      <c r="N727" s="8">
        <v>10.856020124739615</v>
      </c>
      <c r="O727" s="8">
        <v>1.0378337170980852E-2</v>
      </c>
      <c r="P727" s="8">
        <v>5.3572401097400184E-2</v>
      </c>
      <c r="Q727" s="8">
        <v>1.3612733580304377</v>
      </c>
      <c r="R727" s="3">
        <v>1.0884862445201161E-2</v>
      </c>
      <c r="S727" s="33">
        <v>1.9406327007352973E-2</v>
      </c>
      <c r="T727" s="32">
        <v>36</v>
      </c>
      <c r="U727" s="34">
        <v>7.0109500000000005E-2</v>
      </c>
      <c r="V727">
        <v>68.389467093542095</v>
      </c>
    </row>
    <row r="728" spans="1:22" ht="16" x14ac:dyDescent="0.2">
      <c r="A728" s="2" t="s">
        <v>72</v>
      </c>
      <c r="B728" s="5">
        <v>2019</v>
      </c>
      <c r="C728" s="8">
        <v>12.902865471436829</v>
      </c>
      <c r="D728" s="4">
        <v>-0.64827727759436671</v>
      </c>
      <c r="E728" s="6">
        <v>2.0369799302430991E-2</v>
      </c>
      <c r="F728" s="8">
        <v>1.4971000000000001</v>
      </c>
      <c r="G728" s="4">
        <v>167116.32999999999</v>
      </c>
      <c r="H728" s="7">
        <v>2.745546468050422</v>
      </c>
      <c r="I728" s="4">
        <v>69083.271456179995</v>
      </c>
      <c r="J728" s="8">
        <v>4.3204000000000002</v>
      </c>
      <c r="K728" s="8">
        <v>62.261800000000001</v>
      </c>
      <c r="L728" s="7">
        <v>1</v>
      </c>
      <c r="M728" s="8">
        <v>117.1671</v>
      </c>
      <c r="N728" s="8">
        <v>10.950878512648137</v>
      </c>
      <c r="O728" s="8">
        <v>1.1865833761815726E-2</v>
      </c>
      <c r="P728" s="8">
        <v>5.9996265743016371E-2</v>
      </c>
      <c r="Q728" s="8">
        <v>1.4359882336557974</v>
      </c>
      <c r="R728" s="3">
        <v>1.0959023258259955E-2</v>
      </c>
      <c r="S728" s="33">
        <v>4.9086221200260238E-2</v>
      </c>
      <c r="T728" s="32">
        <v>36.700000000000003</v>
      </c>
      <c r="U728" s="34">
        <v>0.19089490833333334</v>
      </c>
      <c r="V728">
        <v>70.420340535955106</v>
      </c>
    </row>
    <row r="729" spans="1:22" ht="16" x14ac:dyDescent="0.2">
      <c r="A729" s="2" t="s">
        <v>72</v>
      </c>
      <c r="B729" s="5">
        <v>2020</v>
      </c>
      <c r="C729" s="8">
        <v>13.441394907025629</v>
      </c>
      <c r="D729" s="4">
        <v>1.3320574351811902</v>
      </c>
      <c r="E729" s="6">
        <v>1.5893943642003135E-2</v>
      </c>
      <c r="F729" s="8">
        <v>1.4079999999999999</v>
      </c>
      <c r="G729" s="4">
        <v>145028.69</v>
      </c>
      <c r="H729" s="7">
        <v>-13.216925000686638</v>
      </c>
      <c r="I729" s="4">
        <v>72807.991254320004</v>
      </c>
      <c r="J729" s="8">
        <v>4.4649000000000001</v>
      </c>
      <c r="K729" s="8">
        <v>62.190899999999999</v>
      </c>
      <c r="L729" s="7">
        <v>0</v>
      </c>
      <c r="M729" s="8">
        <v>99.185599999999994</v>
      </c>
      <c r="N729" s="8">
        <v>10.981841526898501</v>
      </c>
      <c r="O729" s="8">
        <v>1.3692630285784713E-2</v>
      </c>
      <c r="P729" s="8">
        <v>0.12197309008568907</v>
      </c>
      <c r="Q729" s="8">
        <v>1.392133723523058</v>
      </c>
      <c r="R729" s="3">
        <v>9.7291727341097031E-3</v>
      </c>
      <c r="S729" s="33">
        <v>-5.7839783974402245E-2</v>
      </c>
      <c r="T729" s="32">
        <v>41.3</v>
      </c>
      <c r="U729" s="34">
        <v>0.12185847500000001</v>
      </c>
      <c r="V729">
        <v>74.099566883605206</v>
      </c>
    </row>
    <row r="730" spans="1:22" ht="16" x14ac:dyDescent="0.2">
      <c r="A730" s="2" t="s">
        <v>72</v>
      </c>
      <c r="B730" s="5">
        <v>2021</v>
      </c>
      <c r="C730" s="8">
        <v>14.311879372490813</v>
      </c>
      <c r="D730" s="4">
        <v>2.9697775380337372</v>
      </c>
      <c r="E730" s="6">
        <v>-1.278207718962051E-2</v>
      </c>
      <c r="F730" s="8">
        <v>1.5483</v>
      </c>
      <c r="G730" s="4">
        <v>152715.14000000001</v>
      </c>
      <c r="H730" s="7">
        <v>5.2999513406623278</v>
      </c>
      <c r="I730" s="4">
        <v>113126.662107</v>
      </c>
      <c r="J730" s="8">
        <v>4.5854999999999997</v>
      </c>
      <c r="K730" s="8">
        <v>64.369200000000006</v>
      </c>
      <c r="L730" s="7">
        <v>1</v>
      </c>
      <c r="M730" s="8">
        <v>59.095100000000002</v>
      </c>
      <c r="N730" s="8">
        <v>11.089067248477214</v>
      </c>
      <c r="O730" s="8">
        <v>1.8374938850903261E-2</v>
      </c>
      <c r="P730" s="8">
        <v>8.0242801793245278E-2</v>
      </c>
      <c r="Q730" s="8">
        <v>0.98467630083412971</v>
      </c>
      <c r="R730" s="3">
        <v>9.2117798928871338E-3</v>
      </c>
      <c r="S730" s="33">
        <v>0.1791856081844693</v>
      </c>
      <c r="T730" s="32">
        <v>39.4</v>
      </c>
      <c r="U730" s="34">
        <v>6.0301849999999997E-2</v>
      </c>
      <c r="V730">
        <v>73.918012815435105</v>
      </c>
    </row>
    <row r="731" spans="1:22" ht="16" x14ac:dyDescent="0.2">
      <c r="A731" s="2" t="s">
        <v>72</v>
      </c>
      <c r="B731" s="5">
        <v>2022</v>
      </c>
      <c r="C731" s="8">
        <v>15.482427753633173</v>
      </c>
      <c r="D731" s="4">
        <v>-0.34138732730563093</v>
      </c>
      <c r="E731" s="6">
        <v>1.9254945647945026E-2</v>
      </c>
      <c r="F731" s="8">
        <v>1.4591000000000001</v>
      </c>
      <c r="G731" s="4">
        <v>219608.65</v>
      </c>
      <c r="H731" s="7">
        <v>43.802801739238149</v>
      </c>
      <c r="I731" s="4">
        <v>96610.491830600004</v>
      </c>
      <c r="J731" s="8">
        <v>4.6372</v>
      </c>
      <c r="K731" s="8">
        <v>62.233899999999998</v>
      </c>
      <c r="L731" s="7">
        <v>1</v>
      </c>
      <c r="M731" s="8">
        <v>60.162300000000002</v>
      </c>
      <c r="N731" s="8">
        <v>11.184281586836178</v>
      </c>
      <c r="O731" s="8">
        <v>1.5307013409720047E-2</v>
      </c>
      <c r="P731" s="8">
        <v>7.3051848786840359E-2</v>
      </c>
      <c r="Q731" s="8">
        <v>0.72443676330347995</v>
      </c>
      <c r="R731" s="3">
        <v>9.9716171887166936E-3</v>
      </c>
      <c r="S731" s="33">
        <v>7.452704133482646E-2</v>
      </c>
      <c r="T731" s="32">
        <v>40.9</v>
      </c>
      <c r="U731" s="34">
        <v>0.19755554166666667</v>
      </c>
      <c r="V731">
        <v>78.604490582991602</v>
      </c>
    </row>
    <row r="732" spans="1:22" x14ac:dyDescent="0.2">
      <c r="U732" s="34"/>
    </row>
    <row r="733" spans="1:22" ht="16" x14ac:dyDescent="0.2">
      <c r="A733" s="2" t="s">
        <v>73</v>
      </c>
      <c r="B733" s="5">
        <v>2014</v>
      </c>
      <c r="C733" s="8">
        <v>2.8772775001160675</v>
      </c>
      <c r="D733" s="4">
        <v>2.4547837859823463</v>
      </c>
      <c r="E733" s="6">
        <v>-7.2447908176537677E-3</v>
      </c>
      <c r="F733" s="8">
        <v>1.0782</v>
      </c>
      <c r="G733" s="4">
        <v>481233.74</v>
      </c>
      <c r="H733" s="7">
        <v>4.3679840386302855</v>
      </c>
      <c r="I733" s="4">
        <v>52535.583219040003</v>
      </c>
      <c r="J733" s="8">
        <v>3.5562</v>
      </c>
      <c r="K733" s="8">
        <v>60.3095</v>
      </c>
      <c r="L733" s="7">
        <v>1</v>
      </c>
      <c r="M733" s="8">
        <v>186.08279999999999</v>
      </c>
      <c r="N733" s="8">
        <v>11.074549627780206</v>
      </c>
      <c r="O733" s="8">
        <v>8.8980150721662248E-3</v>
      </c>
      <c r="P733" s="8">
        <v>7.2695159629831099E-2</v>
      </c>
      <c r="Q733" s="8">
        <v>2.9644122995199473</v>
      </c>
      <c r="R733" s="3">
        <v>8.8349880904125266E-3</v>
      </c>
      <c r="S733" s="33">
        <v>9.8240353028793539E-2</v>
      </c>
      <c r="T733" s="33">
        <v>29.2</v>
      </c>
      <c r="U733" s="34">
        <v>0.144828875</v>
      </c>
      <c r="V733">
        <v>61.029514460784299</v>
      </c>
    </row>
    <row r="734" spans="1:22" ht="16" x14ac:dyDescent="0.2">
      <c r="A734" s="2" t="s">
        <v>73</v>
      </c>
      <c r="B734" s="5">
        <v>2015</v>
      </c>
      <c r="C734" s="8">
        <v>2.8862957928371054</v>
      </c>
      <c r="D734" s="4">
        <v>3.1656459263727572</v>
      </c>
      <c r="E734" s="6">
        <v>-1.0305358827242865E-2</v>
      </c>
      <c r="F734" s="8">
        <v>1.1879999999999999</v>
      </c>
      <c r="G734" s="4">
        <v>466341.37</v>
      </c>
      <c r="H734" s="7">
        <v>-3.0946229996259187</v>
      </c>
      <c r="I734" s="4">
        <v>65967.083912150003</v>
      </c>
      <c r="J734" s="8">
        <v>3.6137000000000001</v>
      </c>
      <c r="K734" s="8">
        <v>59.055999999999997</v>
      </c>
      <c r="L734" s="7">
        <v>1</v>
      </c>
      <c r="M734" s="8">
        <v>196.37469999999999</v>
      </c>
      <c r="N734" s="8">
        <v>11.225085506721808</v>
      </c>
      <c r="O734" s="8">
        <v>9.3762325261017038E-3</v>
      </c>
      <c r="P734" s="8">
        <v>7.2076122721673547E-2</v>
      </c>
      <c r="Q734" s="8">
        <v>2.8651827721706922</v>
      </c>
      <c r="R734" s="3">
        <v>8.9106575488233954E-3</v>
      </c>
      <c r="S734" s="33">
        <v>3.1612495952536568E-2</v>
      </c>
      <c r="T734" s="32">
        <v>29.3</v>
      </c>
      <c r="U734" s="34">
        <v>0.17680460000000001</v>
      </c>
      <c r="V734">
        <v>64.151944463278596</v>
      </c>
    </row>
    <row r="735" spans="1:22" ht="16" x14ac:dyDescent="0.2">
      <c r="A735" s="2" t="s">
        <v>73</v>
      </c>
      <c r="B735" s="5">
        <v>2016</v>
      </c>
      <c r="C735" s="8">
        <v>2.7361736049812571</v>
      </c>
      <c r="D735" s="4">
        <v>2.107395411787667</v>
      </c>
      <c r="E735" s="6">
        <v>-1.003150712333296E-3</v>
      </c>
      <c r="F735" s="8">
        <v>1.0956999999999999</v>
      </c>
      <c r="G735" s="4">
        <v>478232.95</v>
      </c>
      <c r="H735" s="7">
        <v>2.5499732095396159</v>
      </c>
      <c r="I735" s="4">
        <v>92026.330035899999</v>
      </c>
      <c r="J735" s="8">
        <v>3.6688000000000001</v>
      </c>
      <c r="K735" s="8">
        <v>53.393999999999998</v>
      </c>
      <c r="L735" s="7">
        <v>1</v>
      </c>
      <c r="M735" s="8">
        <v>219.21250000000001</v>
      </c>
      <c r="N735" s="8">
        <v>11.32178310704416</v>
      </c>
      <c r="O735" s="8">
        <v>1.640694780230784E-2</v>
      </c>
      <c r="P735" s="8">
        <v>5.9655237802056581E-2</v>
      </c>
      <c r="Q735" s="8">
        <v>2.912831421912633</v>
      </c>
      <c r="R735" s="3">
        <v>9.7798006222006104E-3</v>
      </c>
      <c r="S735" s="33">
        <v>9.0896369032459928E-2</v>
      </c>
      <c r="T735" s="32">
        <v>29.6</v>
      </c>
      <c r="U735" s="34">
        <v>0.16582907499999999</v>
      </c>
      <c r="V735">
        <v>67.195312807389399</v>
      </c>
    </row>
    <row r="736" spans="1:22" ht="16" x14ac:dyDescent="0.2">
      <c r="A736" s="2" t="s">
        <v>73</v>
      </c>
      <c r="B736" s="5">
        <v>2017</v>
      </c>
      <c r="C736" s="8">
        <v>1.2149580748370037</v>
      </c>
      <c r="D736" s="4">
        <v>0.97521022978217409</v>
      </c>
      <c r="E736" s="6">
        <v>7.4804537821740935E-3</v>
      </c>
      <c r="F736" s="8">
        <v>1.1000000000000001</v>
      </c>
      <c r="G736" s="4">
        <v>515450.20999999996</v>
      </c>
      <c r="H736" s="7">
        <v>7.782245033513469</v>
      </c>
      <c r="I736" s="4">
        <v>328072.59647538001</v>
      </c>
      <c r="J736" s="8">
        <v>3.5419999999999998</v>
      </c>
      <c r="K736" s="8">
        <v>49.724899999999998</v>
      </c>
      <c r="L736" s="7">
        <v>1</v>
      </c>
      <c r="M736" s="8">
        <v>206.24359999999999</v>
      </c>
      <c r="N736" s="8">
        <v>11.453900430194532</v>
      </c>
      <c r="O736" s="8">
        <v>3.7354403038781396E-2</v>
      </c>
      <c r="P736" s="8">
        <v>8.2094008869831384E-2</v>
      </c>
      <c r="Q736" s="8">
        <v>6.7529980858014529</v>
      </c>
      <c r="R736" s="3">
        <v>9.5393761841138236E-3</v>
      </c>
      <c r="S736" s="33">
        <v>0.15542873309395608</v>
      </c>
      <c r="T736" s="32">
        <v>32.6</v>
      </c>
      <c r="U736" s="34">
        <v>0.18246399999999999</v>
      </c>
      <c r="V736">
        <v>65.121568645066006</v>
      </c>
    </row>
    <row r="737" spans="1:22" ht="16" x14ac:dyDescent="0.2">
      <c r="A737" s="2" t="s">
        <v>73</v>
      </c>
      <c r="B737" s="5">
        <v>2018</v>
      </c>
      <c r="C737" s="8">
        <v>0.25180037245054154</v>
      </c>
      <c r="D737" s="4">
        <v>1.090991818948412</v>
      </c>
      <c r="E737" s="6">
        <v>8.1286375484120477E-3</v>
      </c>
      <c r="F737" s="8">
        <v>1.0949</v>
      </c>
      <c r="G737" s="4">
        <v>570213.93999999994</v>
      </c>
      <c r="H737" s="7">
        <v>10.62444615164673</v>
      </c>
      <c r="I737" s="4">
        <v>526362.34039271995</v>
      </c>
      <c r="J737" s="8">
        <v>3.2328000000000001</v>
      </c>
      <c r="K737" s="8">
        <v>45.0321</v>
      </c>
      <c r="L737" s="7">
        <v>0</v>
      </c>
      <c r="M737" s="8">
        <v>249.9881</v>
      </c>
      <c r="N737" s="8">
        <v>11.590158485783197</v>
      </c>
      <c r="O737" s="8">
        <v>4.2105982530288681E-2</v>
      </c>
      <c r="P737" s="8">
        <v>5.6943754142017501E-2</v>
      </c>
      <c r="Q737" s="8">
        <v>59.487758521519488</v>
      </c>
      <c r="R737" s="3">
        <v>1.0306360684360992E-2</v>
      </c>
      <c r="S737" s="33">
        <v>1.9406327007352973E-2</v>
      </c>
      <c r="T737" s="32">
        <v>36</v>
      </c>
      <c r="U737" s="34">
        <v>7.0109500000000005E-2</v>
      </c>
      <c r="V737">
        <v>68.389467093542095</v>
      </c>
    </row>
    <row r="738" spans="1:22" ht="16" x14ac:dyDescent="0.2">
      <c r="A738" s="2" t="s">
        <v>73</v>
      </c>
      <c r="B738" s="5">
        <v>2019</v>
      </c>
      <c r="C738" s="8">
        <v>1.1715214559587563</v>
      </c>
      <c r="D738" s="4">
        <v>2.3487476811968753</v>
      </c>
      <c r="E738" s="6">
        <v>-6.9913374031247864E-3</v>
      </c>
      <c r="F738" s="8">
        <v>1.1621999999999999</v>
      </c>
      <c r="G738" s="4">
        <v>612743.89</v>
      </c>
      <c r="H738" s="7">
        <v>7.4585952774146618</v>
      </c>
      <c r="I738" s="4">
        <v>429714.08079048007</v>
      </c>
      <c r="J738" s="8">
        <v>3.2959000000000001</v>
      </c>
      <c r="K738" s="8">
        <v>55.614899999999999</v>
      </c>
      <c r="L738" s="7">
        <v>1</v>
      </c>
      <c r="M738" s="8">
        <v>243.10210000000001</v>
      </c>
      <c r="N738" s="8">
        <v>11.673576138564256</v>
      </c>
      <c r="O738" s="8">
        <v>0</v>
      </c>
      <c r="P738" s="8">
        <v>7.9321915311717936E-2</v>
      </c>
      <c r="Q738" s="8">
        <v>6.7134666975224908</v>
      </c>
      <c r="R738" s="3">
        <v>9.199450799782502E-3</v>
      </c>
      <c r="S738" s="33">
        <v>4.9086221200260238E-2</v>
      </c>
      <c r="T738" s="32">
        <v>36.700000000000003</v>
      </c>
      <c r="U738" s="34">
        <v>0.19089490833333334</v>
      </c>
      <c r="V738">
        <v>70.420340535955106</v>
      </c>
    </row>
    <row r="739" spans="1:22" ht="16" x14ac:dyDescent="0.2">
      <c r="A739" s="2" t="s">
        <v>73</v>
      </c>
      <c r="B739" s="5">
        <v>2020</v>
      </c>
      <c r="C739" s="8">
        <v>0.4796068469529039</v>
      </c>
      <c r="D739" s="4">
        <v>1.6352471639713841</v>
      </c>
      <c r="E739" s="6">
        <v>2.4611781571384109E-2</v>
      </c>
      <c r="F739" s="8">
        <v>1.0222</v>
      </c>
      <c r="G739" s="4">
        <v>802369.24</v>
      </c>
      <c r="H739" s="7">
        <v>30.946918132468031</v>
      </c>
      <c r="I739" s="4">
        <v>403629.65835163998</v>
      </c>
      <c r="J739" s="8">
        <v>3.4516</v>
      </c>
      <c r="K739" s="8">
        <v>51.036999999999999</v>
      </c>
      <c r="L739" s="7">
        <v>0</v>
      </c>
      <c r="M739" s="8">
        <v>183.76240000000001</v>
      </c>
      <c r="N739" s="8">
        <v>11.720775547483431</v>
      </c>
      <c r="O739" s="8">
        <v>4.2061875396767874E-2</v>
      </c>
      <c r="P739" s="8">
        <v>0.10633000454167421</v>
      </c>
      <c r="Q739" s="8">
        <v>20.224004517837081</v>
      </c>
      <c r="R739" s="3">
        <v>9.4767471029274779E-3</v>
      </c>
      <c r="S739" s="33">
        <v>-5.7839783974402245E-2</v>
      </c>
      <c r="T739" s="32">
        <v>41.3</v>
      </c>
      <c r="U739" s="34">
        <v>0.12185847500000001</v>
      </c>
      <c r="V739">
        <v>74.099566883605206</v>
      </c>
    </row>
    <row r="740" spans="1:22" ht="16" x14ac:dyDescent="0.2">
      <c r="A740" s="2" t="s">
        <v>73</v>
      </c>
      <c r="B740" s="5">
        <v>2021</v>
      </c>
      <c r="C740" s="8">
        <v>1.3319813093509087</v>
      </c>
      <c r="D740" s="4">
        <v>-3.3840106028802808</v>
      </c>
      <c r="E740" s="6">
        <v>5.3427701119719818E-2</v>
      </c>
      <c r="F740" s="8">
        <v>1.1100000000000001</v>
      </c>
      <c r="G740" s="4">
        <v>881490.02999999991</v>
      </c>
      <c r="H740" s="7">
        <v>9.8608952157737164</v>
      </c>
      <c r="I740" s="4">
        <v>413241.11898683</v>
      </c>
      <c r="J740" s="8">
        <v>3.6318999999999999</v>
      </c>
      <c r="K740" s="8">
        <v>49.997999999999998</v>
      </c>
      <c r="L740" s="7">
        <v>0</v>
      </c>
      <c r="M740" s="8">
        <v>153.4984</v>
      </c>
      <c r="N740" s="8">
        <v>11.826430360595909</v>
      </c>
      <c r="O740" s="8">
        <v>2.2314779480916248E-2</v>
      </c>
      <c r="P740" s="8">
        <v>5.97974035923311E-2</v>
      </c>
      <c r="Q740" s="8">
        <v>4.7746165908123039</v>
      </c>
      <c r="R740" s="3">
        <v>8.9610112886146787E-3</v>
      </c>
      <c r="S740" s="33">
        <v>0.1791856081844693</v>
      </c>
      <c r="T740" s="32">
        <v>39.4</v>
      </c>
      <c r="U740" s="34">
        <v>6.0301849999999997E-2</v>
      </c>
      <c r="V740">
        <v>73.918012815435105</v>
      </c>
    </row>
    <row r="741" spans="1:22" ht="16" x14ac:dyDescent="0.2">
      <c r="A741" s="2" t="s">
        <v>73</v>
      </c>
      <c r="B741" s="5">
        <v>2022</v>
      </c>
      <c r="C741" s="8">
        <v>2.170350136060482</v>
      </c>
      <c r="D741" s="4">
        <v>-0.11526769046225487</v>
      </c>
      <c r="E741" s="6">
        <v>1.9563790537745138E-2</v>
      </c>
      <c r="F741" s="8">
        <v>1.0965</v>
      </c>
      <c r="G741" s="4">
        <v>1108174.47</v>
      </c>
      <c r="H741" s="7">
        <v>25.716052625121588</v>
      </c>
      <c r="I741" s="4">
        <v>287457.28609521</v>
      </c>
      <c r="J741" s="8">
        <v>3.6070000000000002</v>
      </c>
      <c r="K741" s="8">
        <v>57.801200000000001</v>
      </c>
      <c r="L741" s="7">
        <v>1</v>
      </c>
      <c r="M741" s="8">
        <v>175.72900000000001</v>
      </c>
      <c r="N741" s="8">
        <v>11.967304367065662</v>
      </c>
      <c r="O741" s="8">
        <v>2.4231460110737679E-2</v>
      </c>
      <c r="P741" s="8">
        <v>8.6326031224581934E-2</v>
      </c>
      <c r="Q741" s="8">
        <v>2.4655321538911292</v>
      </c>
      <c r="R741" s="3">
        <v>8.8335083911925422E-3</v>
      </c>
      <c r="S741" s="33">
        <v>7.452704133482646E-2</v>
      </c>
      <c r="T741" s="32">
        <v>40.9</v>
      </c>
      <c r="U741" s="34">
        <v>0.19755554166666667</v>
      </c>
      <c r="V741">
        <v>78.604490582991602</v>
      </c>
    </row>
    <row r="742" spans="1:22" x14ac:dyDescent="0.2">
      <c r="A742" s="2"/>
      <c r="O742" s="8"/>
      <c r="P742" s="8"/>
      <c r="Q742" s="8"/>
      <c r="U742" s="34"/>
    </row>
    <row r="743" spans="1:22" ht="16" x14ac:dyDescent="0.2">
      <c r="A743" s="31" t="s">
        <v>74</v>
      </c>
      <c r="B743" s="5">
        <v>2014</v>
      </c>
      <c r="C743" s="8">
        <v>5.9985496789098658</v>
      </c>
      <c r="D743" s="4">
        <v>2.6596471748120396</v>
      </c>
      <c r="E743" s="6">
        <v>-9.9505680158716563E-3</v>
      </c>
      <c r="F743" s="8">
        <v>1.1993</v>
      </c>
      <c r="G743" s="4">
        <v>13538882</v>
      </c>
      <c r="H743" s="7">
        <v>12323.407816620496</v>
      </c>
      <c r="I743" s="4">
        <v>10364.675482070001</v>
      </c>
      <c r="J743" s="8">
        <v>3.9279999999999999</v>
      </c>
      <c r="K743" s="8">
        <v>46.558</v>
      </c>
      <c r="L743" s="7">
        <v>1</v>
      </c>
      <c r="M743" s="8">
        <v>166.68270000000001</v>
      </c>
      <c r="N743" s="8">
        <v>9.5840119050638979</v>
      </c>
      <c r="O743" s="8">
        <v>7.8637269315838219E-3</v>
      </c>
      <c r="P743" s="8">
        <v>7.6435596216162777E-2</v>
      </c>
      <c r="Q743" s="8">
        <v>2.5197296473074657</v>
      </c>
      <c r="R743" s="3">
        <v>9.1795878976680609E-3</v>
      </c>
      <c r="S743" s="33">
        <v>9.8240353028793539E-2</v>
      </c>
      <c r="T743" s="33">
        <v>29.2</v>
      </c>
      <c r="U743" s="34">
        <v>0.144828875</v>
      </c>
      <c r="V743">
        <v>61.029514460784299</v>
      </c>
    </row>
    <row r="744" spans="1:22" ht="16" x14ac:dyDescent="0.2">
      <c r="A744" s="31" t="s">
        <v>74</v>
      </c>
      <c r="B744" s="5">
        <v>2015</v>
      </c>
      <c r="C744" s="8">
        <v>6.2071675146184564</v>
      </c>
      <c r="D744" s="4">
        <v>3.1030034915152278</v>
      </c>
      <c r="E744" s="6">
        <v>-1.4804748286445285E-2</v>
      </c>
      <c r="F744" s="8">
        <v>1.3324</v>
      </c>
      <c r="G744" s="4">
        <v>175404.98</v>
      </c>
      <c r="H744" s="7">
        <v>-98.70443527020916</v>
      </c>
      <c r="I744" s="4">
        <v>9034.4882628000014</v>
      </c>
      <c r="J744" s="8">
        <v>3.7999000000000001</v>
      </c>
      <c r="K744" s="8">
        <v>46.2761</v>
      </c>
      <c r="L744" s="7">
        <v>1</v>
      </c>
      <c r="M744" s="8">
        <v>197.03290000000001</v>
      </c>
      <c r="N744" s="8">
        <v>9.770646892729328</v>
      </c>
      <c r="O744" s="8">
        <v>5.09743191565194E-3</v>
      </c>
      <c r="P744" s="8">
        <v>9.2158355303649866E-2</v>
      </c>
      <c r="Q744" s="8">
        <v>2.3149892322461798</v>
      </c>
      <c r="R744" s="3">
        <v>9.3263987441738298E-3</v>
      </c>
      <c r="S744" s="33">
        <v>3.1612495952536568E-2</v>
      </c>
      <c r="T744" s="32">
        <v>29.3</v>
      </c>
      <c r="U744" s="34">
        <v>0.17680460000000001</v>
      </c>
      <c r="V744">
        <v>64.151944463278596</v>
      </c>
    </row>
    <row r="745" spans="1:22" ht="16" x14ac:dyDescent="0.2">
      <c r="A745" s="31" t="s">
        <v>74</v>
      </c>
      <c r="B745" s="5">
        <v>2016</v>
      </c>
      <c r="C745" s="8">
        <v>6.2636678767978493</v>
      </c>
      <c r="D745" s="4">
        <v>-2.3126669614817437</v>
      </c>
      <c r="E745" s="6">
        <v>3.8792216518256026E-2</v>
      </c>
      <c r="F745" s="8">
        <v>1.2789999999999999</v>
      </c>
      <c r="G745" s="4">
        <v>243502.85</v>
      </c>
      <c r="H745" s="7">
        <v>38.823224973430051</v>
      </c>
      <c r="I745" s="4">
        <v>11743.406075159999</v>
      </c>
      <c r="J745" s="8">
        <v>3.9430000000000001</v>
      </c>
      <c r="K745" s="8">
        <v>46.9968</v>
      </c>
      <c r="L745" s="7">
        <v>1</v>
      </c>
      <c r="M745" s="8">
        <v>144.1806</v>
      </c>
      <c r="N745" s="8">
        <v>9.9805887736613972</v>
      </c>
      <c r="O745" s="8">
        <v>5.1203745184816817E-3</v>
      </c>
      <c r="P745" s="8">
        <v>6.9211382449367753E-2</v>
      </c>
      <c r="Q745" s="8">
        <v>3.216852302790878</v>
      </c>
      <c r="R745" s="3">
        <v>9.5563584640708556E-3</v>
      </c>
      <c r="S745" s="33">
        <v>9.0896369032459928E-2</v>
      </c>
      <c r="T745" s="32">
        <v>29.6</v>
      </c>
      <c r="U745" s="34">
        <v>0.16582907499999999</v>
      </c>
      <c r="V745">
        <v>67.195312807389399</v>
      </c>
    </row>
    <row r="746" spans="1:22" ht="16" x14ac:dyDescent="0.2">
      <c r="A746" s="31" t="s">
        <v>74</v>
      </c>
      <c r="B746" s="5">
        <v>2017</v>
      </c>
      <c r="C746" s="8">
        <v>6.1495569069642899</v>
      </c>
      <c r="D746" s="4">
        <v>1.3551116241186829</v>
      </c>
      <c r="E746" s="6">
        <v>-1.5956438813168883E-3</v>
      </c>
      <c r="F746" s="8">
        <v>1.3615999999999999</v>
      </c>
      <c r="G746" s="4">
        <v>353041.79000000004</v>
      </c>
      <c r="H746" s="7">
        <v>44.984664450539299</v>
      </c>
      <c r="I746" s="4">
        <v>16263.684689200001</v>
      </c>
      <c r="J746" s="8">
        <v>4.1841999999999997</v>
      </c>
      <c r="K746" s="8">
        <v>46.736699999999999</v>
      </c>
      <c r="L746" s="7">
        <v>1</v>
      </c>
      <c r="M746" s="8">
        <v>111.65479999999999</v>
      </c>
      <c r="N746" s="8">
        <v>10.223475611426112</v>
      </c>
      <c r="O746" s="8">
        <v>5.4175845012919607E-3</v>
      </c>
      <c r="P746" s="8">
        <v>0.10415037247248431</v>
      </c>
      <c r="Q746" s="8">
        <v>2.909127439778131</v>
      </c>
      <c r="R746" s="3">
        <v>8.9827360074978841E-3</v>
      </c>
      <c r="S746" s="33">
        <v>0.15542873309395608</v>
      </c>
      <c r="T746" s="32">
        <v>32.6</v>
      </c>
      <c r="U746" s="34">
        <v>0.18246399999999999</v>
      </c>
      <c r="V746">
        <v>65.121568645066006</v>
      </c>
    </row>
    <row r="747" spans="1:22" ht="16" x14ac:dyDescent="0.2">
      <c r="A747" s="31" t="s">
        <v>74</v>
      </c>
      <c r="B747" s="5">
        <v>2018</v>
      </c>
      <c r="C747" s="8">
        <v>6.1597019909325113</v>
      </c>
      <c r="D747" s="4">
        <v>1.2540237081795564</v>
      </c>
      <c r="E747" s="6">
        <v>3.199794979556545E-3</v>
      </c>
      <c r="F747" s="8">
        <v>1.379</v>
      </c>
      <c r="G747" s="4">
        <v>596971.49</v>
      </c>
      <c r="H747" s="7">
        <v>69.093718338557011</v>
      </c>
      <c r="I747" s="4">
        <v>26174.124766929999</v>
      </c>
      <c r="J747" s="8">
        <v>4.1710000000000003</v>
      </c>
      <c r="K747" s="8">
        <v>45.653599999999997</v>
      </c>
      <c r="L747" s="7">
        <v>1</v>
      </c>
      <c r="M747" s="8">
        <v>163.38679999999999</v>
      </c>
      <c r="N747" s="8">
        <v>10.434800865948317</v>
      </c>
      <c r="O747" s="8">
        <v>6.5740584233704479E-3</v>
      </c>
      <c r="P747" s="8">
        <v>5.4988120380209796E-2</v>
      </c>
      <c r="Q747" s="8">
        <v>2.7130722435241097</v>
      </c>
      <c r="R747" s="3">
        <v>9.6223683820920898E-3</v>
      </c>
      <c r="S747" s="33">
        <v>1.9406327007352973E-2</v>
      </c>
      <c r="T747" s="32">
        <v>36</v>
      </c>
      <c r="U747" s="34">
        <v>7.0109500000000005E-2</v>
      </c>
      <c r="V747">
        <v>68.389467093542095</v>
      </c>
    </row>
    <row r="748" spans="1:22" ht="16" x14ac:dyDescent="0.2">
      <c r="A748" s="31" t="s">
        <v>74</v>
      </c>
      <c r="B748" s="5">
        <v>2019</v>
      </c>
      <c r="C748" s="8">
        <v>4.5811853114051804</v>
      </c>
      <c r="D748" s="4">
        <v>2.1442941982817492</v>
      </c>
      <c r="E748" s="6">
        <v>3.6954030329223063E-3</v>
      </c>
      <c r="F748" s="8">
        <v>1.2901</v>
      </c>
      <c r="G748" s="4">
        <v>875685.54</v>
      </c>
      <c r="H748" s="7">
        <v>46.688000125433135</v>
      </c>
      <c r="I748" s="4">
        <v>56940.112508160004</v>
      </c>
      <c r="J748" s="8">
        <v>3.9281000000000001</v>
      </c>
      <c r="K748" s="8">
        <v>44.731499999999997</v>
      </c>
      <c r="L748" s="7">
        <v>1</v>
      </c>
      <c r="M748" s="8">
        <v>179.46700000000001</v>
      </c>
      <c r="N748" s="8">
        <v>10.598535243481578</v>
      </c>
      <c r="O748" s="8">
        <v>9.0334747098786399E-3</v>
      </c>
      <c r="P748" s="8">
        <v>5.1127274341327841E-2</v>
      </c>
      <c r="Q748" s="8">
        <v>2.6937881659474026</v>
      </c>
      <c r="R748" s="3">
        <v>9.6523155823958554E-3</v>
      </c>
      <c r="S748" s="33">
        <v>4.9086221200260238E-2</v>
      </c>
      <c r="T748" s="32">
        <v>36.700000000000003</v>
      </c>
      <c r="U748" s="34">
        <v>0.19089490833333334</v>
      </c>
      <c r="V748">
        <v>70.420340535955106</v>
      </c>
    </row>
    <row r="749" spans="1:22" ht="16" x14ac:dyDescent="0.2">
      <c r="A749" s="31" t="s">
        <v>74</v>
      </c>
      <c r="B749" s="5">
        <v>2020</v>
      </c>
      <c r="C749" s="8">
        <v>5.3029827714460236</v>
      </c>
      <c r="D749" s="4">
        <v>1.6238981370666754</v>
      </c>
      <c r="E749" s="6">
        <v>3.8889581445087272E-2</v>
      </c>
      <c r="F749" s="8">
        <v>0.96619999999999995</v>
      </c>
      <c r="G749" s="4">
        <v>881106.94</v>
      </c>
      <c r="H749" s="7">
        <v>0.6191035197406487</v>
      </c>
      <c r="I749" s="4">
        <v>68282.352950879998</v>
      </c>
      <c r="J749" s="8">
        <v>4.5979999999999999</v>
      </c>
      <c r="K749" s="8">
        <v>44.143099999999997</v>
      </c>
      <c r="L749" s="7">
        <v>0</v>
      </c>
      <c r="M749" s="8">
        <v>176.21270000000001</v>
      </c>
      <c r="N749" s="8">
        <v>10.615474075503872</v>
      </c>
      <c r="O749" s="8">
        <v>1.5521368129140076E-2</v>
      </c>
      <c r="P749" s="8">
        <v>5.2836007618098528E-2</v>
      </c>
      <c r="Q749" s="8">
        <v>2.7075972783607929</v>
      </c>
      <c r="R749" s="3">
        <v>1.039679062377839E-2</v>
      </c>
      <c r="S749" s="33">
        <v>-5.7839783974402245E-2</v>
      </c>
      <c r="T749" s="32">
        <v>41.3</v>
      </c>
      <c r="U749" s="34">
        <v>0.12185847500000001</v>
      </c>
      <c r="V749">
        <v>74.099566883605206</v>
      </c>
    </row>
    <row r="750" spans="1:22" ht="16" x14ac:dyDescent="0.2">
      <c r="A750" s="31" t="s">
        <v>74</v>
      </c>
      <c r="B750" s="5">
        <v>2021</v>
      </c>
      <c r="C750" s="8">
        <v>3.2074500489492697</v>
      </c>
      <c r="D750" s="4">
        <v>-5.1495321964646799</v>
      </c>
      <c r="E750" s="6">
        <v>7.7506500867118175E-2</v>
      </c>
      <c r="F750" s="8">
        <v>1.0834999999999999</v>
      </c>
      <c r="G750" s="4">
        <v>763829.3</v>
      </c>
      <c r="H750" s="7">
        <v>-13.310261748704407</v>
      </c>
      <c r="I750" s="4">
        <v>79206.138423680008</v>
      </c>
      <c r="J750" s="8">
        <v>4.5275999999999996</v>
      </c>
      <c r="K750" s="8">
        <v>41.731499999999997</v>
      </c>
      <c r="L750" s="7">
        <v>1</v>
      </c>
      <c r="M750" s="8">
        <v>119.503</v>
      </c>
      <c r="N750" s="8">
        <v>10.811807453573564</v>
      </c>
      <c r="O750" s="8">
        <v>1.9908457424674446E-2</v>
      </c>
      <c r="P750" s="8">
        <v>0.15050486288614298</v>
      </c>
      <c r="Q750" s="8">
        <v>3.9374575215277776</v>
      </c>
      <c r="R750" s="3">
        <v>8.4774996813556536E-3</v>
      </c>
      <c r="S750" s="33">
        <v>0.1791856081844693</v>
      </c>
      <c r="T750" s="32">
        <v>39.4</v>
      </c>
      <c r="U750" s="34">
        <v>6.0301849999999997E-2</v>
      </c>
      <c r="V750">
        <v>73.918012815435105</v>
      </c>
    </row>
    <row r="751" spans="1:22" ht="16" x14ac:dyDescent="0.2">
      <c r="A751" s="31" t="s">
        <v>74</v>
      </c>
      <c r="B751" s="5">
        <v>2022</v>
      </c>
      <c r="C751" s="8">
        <v>4.4322491013963159</v>
      </c>
      <c r="D751" s="4">
        <v>-0.26291452460960923</v>
      </c>
      <c r="E751" s="6">
        <v>2.4810677990785804E-2</v>
      </c>
      <c r="F751" s="8">
        <v>1.0608</v>
      </c>
      <c r="G751" s="4">
        <v>838823.33</v>
      </c>
      <c r="H751" s="7">
        <v>9.8181661792759076</v>
      </c>
      <c r="I751" s="4">
        <v>72675.232951500002</v>
      </c>
      <c r="J751" s="8">
        <v>4.6329000000000002</v>
      </c>
      <c r="K751" s="8">
        <v>43.190800000000003</v>
      </c>
      <c r="L751" s="7">
        <v>1</v>
      </c>
      <c r="M751" s="8">
        <v>100.2938</v>
      </c>
      <c r="N751" s="8">
        <v>10.877122036407387</v>
      </c>
      <c r="O751" s="8">
        <v>1.6406099542639843E-2</v>
      </c>
      <c r="P751" s="8">
        <v>0.15797480060228647</v>
      </c>
      <c r="Q751" s="8">
        <v>2.4595120115120577</v>
      </c>
      <c r="R751" s="3">
        <v>8.2849628528822404E-3</v>
      </c>
      <c r="S751" s="33">
        <v>7.452704133482646E-2</v>
      </c>
      <c r="T751" s="32">
        <v>40.9</v>
      </c>
      <c r="U751" s="34">
        <v>0.19755554166666667</v>
      </c>
      <c r="V751">
        <v>78.604490582991602</v>
      </c>
    </row>
    <row r="752" spans="1:22" x14ac:dyDescent="0.2">
      <c r="U752" s="34"/>
    </row>
    <row r="753" spans="1:22" ht="16" x14ac:dyDescent="0.2">
      <c r="A753" s="2" t="s">
        <v>75</v>
      </c>
      <c r="B753" s="5">
        <v>2014</v>
      </c>
      <c r="C753" s="8">
        <v>7.4099040840186809</v>
      </c>
      <c r="D753" s="4">
        <v>2.0149025728912733</v>
      </c>
      <c r="E753" s="6">
        <v>-2.4689533087269688E-3</v>
      </c>
      <c r="F753" s="8">
        <v>1.0359</v>
      </c>
      <c r="G753" s="4">
        <v>3661.48</v>
      </c>
      <c r="H753" s="7">
        <v>-18.569357091387861</v>
      </c>
      <c r="I753" s="4">
        <v>4893.0583572500009</v>
      </c>
      <c r="J753" s="8">
        <v>3.4030999999999998</v>
      </c>
      <c r="K753" s="8">
        <v>45.201500000000003</v>
      </c>
      <c r="L753" s="7">
        <v>1</v>
      </c>
      <c r="M753" s="8">
        <v>15.061400000000001</v>
      </c>
      <c r="N753" s="8">
        <v>8.336434596560677</v>
      </c>
      <c r="O753" s="8">
        <v>1.3629121134102019E-2</v>
      </c>
      <c r="P753" s="8">
        <v>8.5691852249611788E-2</v>
      </c>
      <c r="Q753" s="8">
        <v>5.1474363211896224</v>
      </c>
      <c r="R753" s="3">
        <v>7.3546310508332303E-3</v>
      </c>
      <c r="S753" s="33">
        <v>9.8240353028793539E-2</v>
      </c>
      <c r="T753" s="33">
        <v>29.2</v>
      </c>
      <c r="U753" s="34">
        <v>0.144828875</v>
      </c>
      <c r="V753">
        <v>61.029514460784299</v>
      </c>
    </row>
    <row r="754" spans="1:22" ht="16" x14ac:dyDescent="0.2">
      <c r="A754" s="2" t="s">
        <v>75</v>
      </c>
      <c r="B754" s="5">
        <v>2015</v>
      </c>
      <c r="C754" s="8">
        <v>7.6919830942192506</v>
      </c>
      <c r="D754" s="4">
        <v>3.0659750768006657</v>
      </c>
      <c r="E754" s="6">
        <v>-1.6496225599333746E-2</v>
      </c>
      <c r="F754" s="8">
        <v>1.1107</v>
      </c>
      <c r="G754" s="4">
        <v>5892.1399999999994</v>
      </c>
      <c r="H754" s="7">
        <v>60.922359264559667</v>
      </c>
      <c r="I754" s="4">
        <v>5389.5864997900007</v>
      </c>
      <c r="J754" s="8">
        <v>3.2938999999999998</v>
      </c>
      <c r="K754" s="8">
        <v>42.825800000000001</v>
      </c>
      <c r="L754" s="7">
        <v>1</v>
      </c>
      <c r="M754" s="8">
        <v>6.2628000000000004</v>
      </c>
      <c r="N754" s="8">
        <v>8.4058273688331493</v>
      </c>
      <c r="O754" s="8">
        <v>5.7021935827027736E-3</v>
      </c>
      <c r="P754" s="8">
        <v>8.4911244757967921E-2</v>
      </c>
      <c r="Q754" s="8">
        <v>4.9240724268467524</v>
      </c>
      <c r="R754" s="3">
        <v>7.5051109592187458E-3</v>
      </c>
      <c r="S754" s="33">
        <v>3.1612495952536568E-2</v>
      </c>
      <c r="T754" s="32">
        <v>29.3</v>
      </c>
      <c r="U754" s="34">
        <v>0.17680460000000001</v>
      </c>
      <c r="V754">
        <v>64.151944463278596</v>
      </c>
    </row>
    <row r="755" spans="1:22" ht="16" x14ac:dyDescent="0.2">
      <c r="A755" s="2" t="s">
        <v>75</v>
      </c>
      <c r="B755" s="5">
        <v>2016</v>
      </c>
      <c r="C755" s="8">
        <v>7.6897215622433279</v>
      </c>
      <c r="D755" s="4">
        <v>1.4772003294742466</v>
      </c>
      <c r="E755" s="6">
        <v>2.394204374246678E-3</v>
      </c>
      <c r="F755" s="8">
        <v>1.0823</v>
      </c>
      <c r="G755" s="4">
        <v>4788.55</v>
      </c>
      <c r="H755" s="7">
        <v>-18.72986724687464</v>
      </c>
      <c r="I755" s="4">
        <v>7740.0009827399999</v>
      </c>
      <c r="J755" s="8">
        <v>3.5644999999999998</v>
      </c>
      <c r="K755" s="8">
        <v>51.770800000000001</v>
      </c>
      <c r="L755" s="7">
        <v>1</v>
      </c>
      <c r="M755" s="8">
        <v>21.774100000000001</v>
      </c>
      <c r="N755" s="8">
        <v>8.4780471458752604</v>
      </c>
      <c r="O755" s="8">
        <v>8.7871380541329862E-3</v>
      </c>
      <c r="P755" s="8">
        <v>7.9960694983832126E-2</v>
      </c>
      <c r="Q755" s="8">
        <v>4.4146695512391556</v>
      </c>
      <c r="R755" s="3">
        <v>7.8221819110135555E-3</v>
      </c>
      <c r="S755" s="33">
        <v>9.0896369032459928E-2</v>
      </c>
      <c r="T755" s="32">
        <v>29.6</v>
      </c>
      <c r="U755" s="34">
        <v>0.16582907499999999</v>
      </c>
      <c r="V755">
        <v>67.195312807389399</v>
      </c>
    </row>
    <row r="756" spans="1:22" ht="16" x14ac:dyDescent="0.2">
      <c r="A756" s="2" t="s">
        <v>75</v>
      </c>
      <c r="B756" s="5">
        <v>2017</v>
      </c>
      <c r="C756" s="8">
        <v>7.7671164400030914</v>
      </c>
      <c r="D756" s="4">
        <v>-0.75759135270579681</v>
      </c>
      <c r="E756" s="6">
        <v>2.7670105076622983E-2</v>
      </c>
      <c r="F756" s="8">
        <v>1.1571</v>
      </c>
      <c r="G756" s="4">
        <v>5381.6299999999992</v>
      </c>
      <c r="H756" s="7">
        <v>12.385377619529899</v>
      </c>
      <c r="I756" s="4">
        <v>10514.241006799999</v>
      </c>
      <c r="J756" s="8">
        <v>3.8772000000000002</v>
      </c>
      <c r="K756" s="8">
        <v>43.408700000000003</v>
      </c>
      <c r="L756" s="7">
        <v>1</v>
      </c>
      <c r="M756" s="8">
        <v>21.352900000000002</v>
      </c>
      <c r="N756" s="8">
        <v>8.6011023531748254</v>
      </c>
      <c r="O756" s="8">
        <v>1.1214769319402178E-2</v>
      </c>
      <c r="P756" s="8">
        <v>8.1529555270010393E-2</v>
      </c>
      <c r="Q756" s="8">
        <v>2.8509083976705072</v>
      </c>
      <c r="R756" s="3">
        <v>8.0034590350108511E-3</v>
      </c>
      <c r="S756" s="33">
        <v>0.15542873309395608</v>
      </c>
      <c r="T756" s="32">
        <v>32.6</v>
      </c>
      <c r="U756" s="34">
        <v>0.18246399999999999</v>
      </c>
      <c r="V756">
        <v>65.121568645066006</v>
      </c>
    </row>
    <row r="757" spans="1:22" ht="16" x14ac:dyDescent="0.2">
      <c r="A757" s="2" t="s">
        <v>75</v>
      </c>
      <c r="B757" s="5">
        <v>2018</v>
      </c>
      <c r="C757" s="8">
        <v>8.1079715093348703</v>
      </c>
      <c r="D757" s="4">
        <v>1.6714122826466935</v>
      </c>
      <c r="E757" s="6">
        <v>-4.7742389726283639E-4</v>
      </c>
      <c r="F757" s="8">
        <v>1.1828000000000001</v>
      </c>
      <c r="G757" s="4">
        <v>3768.02</v>
      </c>
      <c r="H757" s="7">
        <v>-29.98366665861457</v>
      </c>
      <c r="I757" s="4">
        <v>13149.126532079998</v>
      </c>
      <c r="J757" s="8">
        <v>4.1211000000000002</v>
      </c>
      <c r="K757" s="8">
        <v>44.226599999999998</v>
      </c>
      <c r="L757" s="7">
        <v>1</v>
      </c>
      <c r="M757" s="8">
        <v>48.8459</v>
      </c>
      <c r="N757" s="8">
        <v>8.7211109295250289</v>
      </c>
      <c r="O757" s="8">
        <v>1.3360984600474763E-2</v>
      </c>
      <c r="P757" s="8">
        <v>6.0874702079738163E-2</v>
      </c>
      <c r="Q757" s="8">
        <v>2.496363225365779</v>
      </c>
      <c r="R757" s="3">
        <v>8.592912240666311E-3</v>
      </c>
      <c r="S757" s="33">
        <v>1.9406327007352973E-2</v>
      </c>
      <c r="T757" s="32">
        <v>36</v>
      </c>
      <c r="U757" s="34">
        <v>7.0109500000000005E-2</v>
      </c>
      <c r="V757">
        <v>68.389467093542095</v>
      </c>
    </row>
    <row r="758" spans="1:22" ht="16" x14ac:dyDescent="0.2">
      <c r="A758" s="2" t="s">
        <v>75</v>
      </c>
      <c r="B758" s="5">
        <v>2019</v>
      </c>
      <c r="C758" s="8">
        <v>8.2794991399701185</v>
      </c>
      <c r="D758" s="4">
        <v>-0.33059475893897383</v>
      </c>
      <c r="E758" s="6">
        <v>1.8390563696814955E-2</v>
      </c>
      <c r="F758" s="8">
        <v>1.2255</v>
      </c>
      <c r="G758" s="4">
        <v>3118.63</v>
      </c>
      <c r="H758" s="7">
        <v>-17.234250348989651</v>
      </c>
      <c r="I758" s="4">
        <v>14094.090637199999</v>
      </c>
      <c r="J758" s="8">
        <v>3.8336999999999999</v>
      </c>
      <c r="K758" s="8">
        <v>42.7836</v>
      </c>
      <c r="L758" s="7">
        <v>1</v>
      </c>
      <c r="M758" s="8">
        <v>18.623100000000001</v>
      </c>
      <c r="N758" s="8">
        <v>8.7839583730107069</v>
      </c>
      <c r="O758" s="8">
        <v>1.1534854133337238E-2</v>
      </c>
      <c r="P758" s="8">
        <v>6.2908843856384622E-2</v>
      </c>
      <c r="Q758" s="8">
        <v>2.3308372677604714</v>
      </c>
      <c r="R758" s="3">
        <v>8.5972346976502037E-3</v>
      </c>
      <c r="S758" s="33">
        <v>4.9086221200260238E-2</v>
      </c>
      <c r="T758" s="32">
        <v>36.700000000000003</v>
      </c>
      <c r="U758" s="34">
        <v>0.19089490833333334</v>
      </c>
      <c r="V758">
        <v>70.420340535955106</v>
      </c>
    </row>
    <row r="759" spans="1:22" ht="16" x14ac:dyDescent="0.2">
      <c r="A759" s="2" t="s">
        <v>75</v>
      </c>
      <c r="B759" s="5">
        <v>2020</v>
      </c>
      <c r="C759" s="8">
        <v>5.3916969047574161</v>
      </c>
      <c r="D759" s="4">
        <v>1.4875400995156554</v>
      </c>
      <c r="E759" s="6">
        <v>1.8674031361364619E-2</v>
      </c>
      <c r="F759" s="8">
        <v>1.0848</v>
      </c>
      <c r="G759" s="4">
        <v>6455.08</v>
      </c>
      <c r="H759" s="7">
        <v>106.98447715823936</v>
      </c>
      <c r="I759" s="4">
        <v>18751.59736752</v>
      </c>
      <c r="J759" s="8">
        <v>3.33</v>
      </c>
      <c r="K759" s="8">
        <v>47.494999999999997</v>
      </c>
      <c r="L759" s="7">
        <v>1</v>
      </c>
      <c r="M759" s="8">
        <v>42.163800000000002</v>
      </c>
      <c r="N759" s="8">
        <v>8.794561378136784</v>
      </c>
      <c r="O759" s="8">
        <v>1.8255239343551197E-2</v>
      </c>
      <c r="P759" s="8">
        <v>9.6297952359160013E-2</v>
      </c>
      <c r="Q759" s="8">
        <v>4.2526796258979935</v>
      </c>
      <c r="R759" s="3">
        <v>8.4634392099772696E-3</v>
      </c>
      <c r="S759" s="33">
        <v>-5.7839783974402245E-2</v>
      </c>
      <c r="T759" s="32">
        <v>41.3</v>
      </c>
      <c r="U759" s="34">
        <v>0.12185847500000001</v>
      </c>
      <c r="V759">
        <v>74.099566883605206</v>
      </c>
    </row>
    <row r="760" spans="1:22" ht="16" x14ac:dyDescent="0.2">
      <c r="A760" s="2" t="s">
        <v>75</v>
      </c>
      <c r="B760" s="5">
        <v>2021</v>
      </c>
      <c r="C760" s="8">
        <v>6.1006165551158711</v>
      </c>
      <c r="D760" s="4">
        <v>-1.194795293725146</v>
      </c>
      <c r="E760" s="6">
        <v>2.9831005467667988E-2</v>
      </c>
      <c r="F760" s="8">
        <v>1.1065</v>
      </c>
      <c r="G760" s="4">
        <v>6338.34</v>
      </c>
      <c r="H760" s="7">
        <v>-1.8084981131140092</v>
      </c>
      <c r="I760" s="4">
        <v>25877.059589280001</v>
      </c>
      <c r="J760" s="8">
        <v>3.3544</v>
      </c>
      <c r="K760" s="8">
        <v>44.905900000000003</v>
      </c>
      <c r="L760" s="7">
        <v>1</v>
      </c>
      <c r="M760" s="8">
        <v>26.194500000000001</v>
      </c>
      <c r="N760" s="8">
        <v>8.8938265505155893</v>
      </c>
      <c r="O760" s="8">
        <v>2.2122552451464741E-2</v>
      </c>
      <c r="P760" s="8">
        <v>0.10213047770761313</v>
      </c>
      <c r="Q760" s="8">
        <v>3.3269969798488752</v>
      </c>
      <c r="R760" s="3">
        <v>8.3022011639014397E-3</v>
      </c>
      <c r="S760" s="33">
        <v>0.1791856081844693</v>
      </c>
      <c r="T760" s="32">
        <v>39.4</v>
      </c>
      <c r="U760" s="34">
        <v>6.0301849999999997E-2</v>
      </c>
      <c r="V760">
        <v>73.918012815435105</v>
      </c>
    </row>
    <row r="761" spans="1:22" ht="16" x14ac:dyDescent="0.2">
      <c r="A761" s="2" t="s">
        <v>75</v>
      </c>
      <c r="B761" s="5">
        <v>2022</v>
      </c>
      <c r="C761" s="8">
        <v>6.908683510439805</v>
      </c>
      <c r="D761" s="4">
        <v>-0.9511671478717173</v>
      </c>
      <c r="E761" s="6">
        <v>3.2313645636983697E-2</v>
      </c>
      <c r="F761" s="8">
        <v>1.0479000000000001</v>
      </c>
      <c r="G761" s="4">
        <v>7444.7800000000007</v>
      </c>
      <c r="H761" s="7">
        <v>17.456305594209219</v>
      </c>
      <c r="I761" s="4">
        <v>25465.674219619999</v>
      </c>
      <c r="J761" s="8">
        <v>3.2168000000000001</v>
      </c>
      <c r="K761" s="8">
        <v>40.675400000000003</v>
      </c>
      <c r="L761" s="7">
        <v>1</v>
      </c>
      <c r="M761" s="8">
        <v>87.869100000000003</v>
      </c>
      <c r="N761" s="8">
        <v>9.0002908312096626</v>
      </c>
      <c r="O761" s="8">
        <v>1.8055237587750263E-2</v>
      </c>
      <c r="P761" s="8">
        <v>0.10107727918495819</v>
      </c>
      <c r="Q761" s="8">
        <v>2.2212421370092579</v>
      </c>
      <c r="R761" s="3">
        <v>8.6183355801832569E-3</v>
      </c>
      <c r="S761" s="33">
        <v>7.452704133482646E-2</v>
      </c>
      <c r="T761" s="32">
        <v>40.9</v>
      </c>
      <c r="U761" s="34">
        <v>0.19755554166666667</v>
      </c>
      <c r="V761">
        <v>78.604490582991602</v>
      </c>
    </row>
    <row r="762" spans="1:22" x14ac:dyDescent="0.2">
      <c r="A762" s="2" t="s">
        <v>99</v>
      </c>
      <c r="U762" s="34"/>
    </row>
    <row r="763" spans="1:22" ht="16" x14ac:dyDescent="0.2">
      <c r="A763" s="2" t="s">
        <v>76</v>
      </c>
      <c r="B763" s="5">
        <v>2014</v>
      </c>
      <c r="C763" s="4">
        <v>1.9102649263249847</v>
      </c>
      <c r="D763" s="4">
        <v>2.3789908912432263</v>
      </c>
      <c r="E763" s="22">
        <v>2.4547440602567919E-2</v>
      </c>
      <c r="F763" s="4">
        <v>0.999</v>
      </c>
      <c r="G763" s="4">
        <v>147.98504700000001</v>
      </c>
      <c r="H763" s="7">
        <v>-10.800346223658194</v>
      </c>
      <c r="I763" s="4">
        <v>1508.98130713</v>
      </c>
      <c r="J763" s="4">
        <v>3.7926000000000002</v>
      </c>
      <c r="K763" s="4">
        <v>78.539299999999997</v>
      </c>
      <c r="L763" s="7">
        <v>0</v>
      </c>
      <c r="M763" s="4">
        <v>15.1059</v>
      </c>
      <c r="N763" s="4">
        <v>6.666916969753343</v>
      </c>
      <c r="O763" s="4">
        <v>3.417833367848724E-3</v>
      </c>
      <c r="P763" s="4">
        <v>3.6229905847395702E-2</v>
      </c>
      <c r="Q763" s="4">
        <v>9.3023992094138315</v>
      </c>
      <c r="R763" s="3">
        <v>8.4366247054246876E-3</v>
      </c>
      <c r="S763" s="33">
        <v>-2.3790473405785002E-2</v>
      </c>
      <c r="T763" s="5">
        <v>38.4</v>
      </c>
      <c r="U763" s="34">
        <v>0.188985125</v>
      </c>
      <c r="V763">
        <v>11865.2112962963</v>
      </c>
    </row>
    <row r="764" spans="1:22" ht="16" x14ac:dyDescent="0.2">
      <c r="A764" s="2" t="s">
        <v>76</v>
      </c>
      <c r="B764" s="5">
        <v>2015</v>
      </c>
      <c r="C764" s="4">
        <v>2.1621229754534852</v>
      </c>
      <c r="D764" s="4">
        <v>0.7044080623116723</v>
      </c>
      <c r="E764" s="22">
        <v>3.415046172563229E-2</v>
      </c>
      <c r="F764" s="4">
        <v>1.0542</v>
      </c>
      <c r="G764" s="4">
        <v>245.817984</v>
      </c>
      <c r="H764" s="7">
        <v>66.110015155787991</v>
      </c>
      <c r="I764" s="4">
        <v>980.73297820999994</v>
      </c>
      <c r="J764" s="4">
        <v>4.3125</v>
      </c>
      <c r="K764" s="4">
        <v>73.685000000000002</v>
      </c>
      <c r="L764" s="7">
        <v>0</v>
      </c>
      <c r="M764" s="4">
        <v>11.688000000000001</v>
      </c>
      <c r="N764" s="4">
        <v>6.5904945734255147</v>
      </c>
      <c r="O764" s="4">
        <v>4.000367156724206E-3</v>
      </c>
      <c r="P764" s="4">
        <v>3.8520506127316841E-2</v>
      </c>
      <c r="Q764" s="4">
        <v>6.7968527298641614</v>
      </c>
      <c r="R764" s="3">
        <v>8.6856147825995055E-3</v>
      </c>
      <c r="S764" s="33">
        <v>-3.3632719494237032E-2</v>
      </c>
      <c r="T764" s="5">
        <v>40.299999999999997</v>
      </c>
      <c r="U764" s="34">
        <v>0.13680825833333329</v>
      </c>
      <c r="V764">
        <v>13389.412936507901</v>
      </c>
    </row>
    <row r="765" spans="1:22" ht="16" x14ac:dyDescent="0.2">
      <c r="A765" s="2" t="s">
        <v>76</v>
      </c>
      <c r="B765" s="5">
        <v>2016</v>
      </c>
      <c r="C765" s="4">
        <v>0.85435763227423522</v>
      </c>
      <c r="D765" s="4">
        <v>-1.0680763265250066</v>
      </c>
      <c r="E765" s="22">
        <v>5.6663201471889607E-2</v>
      </c>
      <c r="F765" s="4">
        <v>1.0053000000000001</v>
      </c>
      <c r="G765" s="4">
        <v>394.38937199999998</v>
      </c>
      <c r="H765" s="7">
        <v>60.439592572689868</v>
      </c>
      <c r="I765" s="4">
        <v>1844.2213407199999</v>
      </c>
      <c r="J765" s="4">
        <v>4.9451000000000001</v>
      </c>
      <c r="K765" s="4">
        <v>82.644099999999995</v>
      </c>
      <c r="L765" s="7">
        <v>0</v>
      </c>
      <c r="M765" s="4">
        <v>6.9939999999999998</v>
      </c>
      <c r="N765" s="4">
        <v>6.8082361138132672</v>
      </c>
      <c r="O765" s="4">
        <v>8.1382420212652191E-3</v>
      </c>
      <c r="P765" s="4">
        <v>4.7852150832798868E-2</v>
      </c>
      <c r="Q765" s="4">
        <v>7.7750604393679268</v>
      </c>
      <c r="R765" s="3">
        <v>8.6465015627459948E-3</v>
      </c>
      <c r="S765" s="33">
        <v>8.2503086604823125E-2</v>
      </c>
      <c r="T765" s="5">
        <v>39.799999999999997</v>
      </c>
      <c r="U765" s="34">
        <v>0.15395719999999999</v>
      </c>
      <c r="V765">
        <v>13308.3268020542</v>
      </c>
    </row>
    <row r="766" spans="1:22" ht="16" x14ac:dyDescent="0.2">
      <c r="A766" s="2" t="s">
        <v>76</v>
      </c>
      <c r="B766" s="5">
        <v>2017</v>
      </c>
      <c r="C766" s="4">
        <v>1.237236417049459</v>
      </c>
      <c r="D766" s="4">
        <v>38.491759574683343</v>
      </c>
      <c r="E766" s="22">
        <v>-0.34802925510186533</v>
      </c>
      <c r="F766" s="4">
        <v>1.0706</v>
      </c>
      <c r="G766" s="4">
        <v>429.52925900000002</v>
      </c>
      <c r="H766" s="7">
        <v>8.9099477558944074</v>
      </c>
      <c r="I766" s="4">
        <v>2287.3220001499999</v>
      </c>
      <c r="J766" s="4">
        <v>4.9246999999999996</v>
      </c>
      <c r="K766" s="4">
        <v>77.464500000000001</v>
      </c>
      <c r="L766" s="7">
        <v>0</v>
      </c>
      <c r="M766" s="4">
        <v>12.846</v>
      </c>
      <c r="N766" s="4">
        <v>7.0578651485782675</v>
      </c>
      <c r="O766" s="4">
        <v>8.9642649778504148E-3</v>
      </c>
      <c r="P766" s="4">
        <v>3.6269366491276524E-2</v>
      </c>
      <c r="Q766" s="4">
        <v>7.7736421435059038</v>
      </c>
      <c r="R766" s="3">
        <v>7.9521710381891264E-3</v>
      </c>
      <c r="S766" s="33">
        <v>8.9863090752360486E-2</v>
      </c>
      <c r="T766" s="5">
        <v>40</v>
      </c>
      <c r="U766" s="34">
        <v>5.1390424999999997E-2</v>
      </c>
      <c r="V766">
        <v>13380.8338788891</v>
      </c>
    </row>
    <row r="767" spans="1:22" ht="16" x14ac:dyDescent="0.2">
      <c r="A767" s="2" t="s">
        <v>76</v>
      </c>
      <c r="B767" s="5">
        <v>2018</v>
      </c>
      <c r="C767" s="4">
        <v>1.9040496294597304</v>
      </c>
      <c r="D767" s="4">
        <v>2.8800170312088675</v>
      </c>
      <c r="E767" s="22">
        <v>-1.0422730034613786E-2</v>
      </c>
      <c r="F767" s="4">
        <v>0.99029999999999996</v>
      </c>
      <c r="G767" s="4">
        <v>370.47337399999998</v>
      </c>
      <c r="H767" s="7">
        <v>-13.748978390317305</v>
      </c>
      <c r="I767" s="4">
        <v>2035.4462456199999</v>
      </c>
      <c r="J767" s="4">
        <v>4.4298999999999999</v>
      </c>
      <c r="K767" s="4">
        <v>70.831299999999999</v>
      </c>
      <c r="L767" s="7">
        <v>0</v>
      </c>
      <c r="M767" s="4">
        <v>3.7753000000000001</v>
      </c>
      <c r="N767" s="4">
        <v>7.010772140426675</v>
      </c>
      <c r="O767" s="4">
        <v>1.0833626020387007E-2</v>
      </c>
      <c r="P767" s="4">
        <v>5.3876969636992934E-2</v>
      </c>
      <c r="Q767" s="4">
        <v>5.082126619246214</v>
      </c>
      <c r="R767" s="3">
        <v>8.8353520877298454E-3</v>
      </c>
      <c r="S767" s="33">
        <v>2.6242907526326353E-2</v>
      </c>
      <c r="T767" s="5">
        <v>40.4</v>
      </c>
      <c r="U767" s="34">
        <v>3.1871000000000003E-2</v>
      </c>
      <c r="V767">
        <v>14236.938773481799</v>
      </c>
    </row>
    <row r="768" spans="1:22" ht="16" x14ac:dyDescent="0.2">
      <c r="A768" s="2" t="s">
        <v>76</v>
      </c>
      <c r="B768" s="5">
        <v>2019</v>
      </c>
      <c r="C768" s="4">
        <v>1.5807549762663502</v>
      </c>
      <c r="D768" s="4">
        <v>2.2013266670333316</v>
      </c>
      <c r="E768" s="22">
        <v>1.0054927087819037E-2</v>
      </c>
      <c r="F768" s="4">
        <v>0.96560000000000001</v>
      </c>
      <c r="G768" s="4">
        <v>313.22714999999999</v>
      </c>
      <c r="H768" s="7">
        <v>-15.452183076455039</v>
      </c>
      <c r="I768" s="4">
        <v>2621.4015125999999</v>
      </c>
      <c r="J768" s="4">
        <v>3.7591999999999999</v>
      </c>
      <c r="K768" s="4">
        <v>78.342500000000001</v>
      </c>
      <c r="L768" s="7">
        <v>0</v>
      </c>
      <c r="M768" s="4">
        <v>57.029299999999999</v>
      </c>
      <c r="N768" s="4">
        <v>7.2185143913966598</v>
      </c>
      <c r="O768" s="4">
        <v>1.0065305181999515E-2</v>
      </c>
      <c r="P768" s="4">
        <v>5.5553514374362623E-2</v>
      </c>
      <c r="Q768" s="4">
        <v>6.4546004767845453</v>
      </c>
      <c r="R768" s="3">
        <v>1.0774877138776355E-2</v>
      </c>
      <c r="S768" s="33">
        <v>7.3712402194368393E-2</v>
      </c>
      <c r="T768" s="5">
        <v>40.4</v>
      </c>
      <c r="U768" s="34">
        <v>0.28101690833333337</v>
      </c>
      <c r="V768">
        <v>14147.671360545401</v>
      </c>
    </row>
    <row r="769" spans="1:22" ht="16" x14ac:dyDescent="0.2">
      <c r="A769" s="2" t="s">
        <v>76</v>
      </c>
      <c r="B769" s="5">
        <v>2020</v>
      </c>
      <c r="C769" s="4">
        <v>1.222978556521626</v>
      </c>
      <c r="D769" s="4">
        <v>-0.94217830756538434</v>
      </c>
      <c r="E769" s="22">
        <v>5.3386144850661836E-2</v>
      </c>
      <c r="F769" s="4">
        <v>0.97040000000000004</v>
      </c>
      <c r="G769" s="4">
        <v>303.61350900000002</v>
      </c>
      <c r="H769" s="7">
        <v>-3.0692234054423357</v>
      </c>
      <c r="I769" s="4">
        <v>3110.7260950999998</v>
      </c>
      <c r="J769" s="4">
        <v>3.1751</v>
      </c>
      <c r="K769" s="4">
        <v>82.072699999999998</v>
      </c>
      <c r="L769" s="7">
        <v>0</v>
      </c>
      <c r="M769" s="4">
        <v>306.96069999999997</v>
      </c>
      <c r="N769" s="4">
        <v>7.5023241151007829</v>
      </c>
      <c r="O769" s="4">
        <v>1.1764381106689646E-2</v>
      </c>
      <c r="P769" s="4">
        <v>3.4750971913689144E-2</v>
      </c>
      <c r="Q769" s="4">
        <v>12.623712128940122</v>
      </c>
      <c r="R769" s="3">
        <v>6.2759508553530274</v>
      </c>
      <c r="S769" s="33">
        <v>-5.3654754334001277E-2</v>
      </c>
      <c r="T769" s="5">
        <v>41.7</v>
      </c>
      <c r="U769" s="34">
        <v>0.11197615</v>
      </c>
      <c r="V769">
        <v>14582.203467817701</v>
      </c>
    </row>
    <row r="770" spans="1:22" ht="16" x14ac:dyDescent="0.2">
      <c r="A770" s="2" t="s">
        <v>76</v>
      </c>
      <c r="B770" s="5">
        <v>2021</v>
      </c>
      <c r="C770" s="4">
        <v>1.4242303808589221</v>
      </c>
      <c r="D770" s="4">
        <v>-1.6894422925659802</v>
      </c>
      <c r="E770" s="22">
        <v>4.628266960251988E-2</v>
      </c>
      <c r="F770" s="4">
        <v>0.93579999999999997</v>
      </c>
      <c r="G770" s="4">
        <v>273.68412899999998</v>
      </c>
      <c r="H770" s="7">
        <v>-9.8577234256068742</v>
      </c>
      <c r="I770" s="4">
        <v>4246.9790524</v>
      </c>
      <c r="J770" s="4">
        <v>3.8233000000000001</v>
      </c>
      <c r="K770" s="4">
        <v>63.817599999999999</v>
      </c>
      <c r="L770" s="7">
        <v>0</v>
      </c>
      <c r="M770" s="4">
        <v>8.25</v>
      </c>
      <c r="N770" s="4">
        <v>7.5173219177737298</v>
      </c>
      <c r="O770" s="4">
        <v>2.1198567938999803E-2</v>
      </c>
      <c r="P770" s="4">
        <v>0.14501303520156728</v>
      </c>
      <c r="Q770" s="4">
        <v>4.8397845931568924</v>
      </c>
      <c r="R770" s="3">
        <v>7.1457206231834419E-3</v>
      </c>
      <c r="S770" s="33">
        <v>0.12034373279739548</v>
      </c>
      <c r="T770" s="5">
        <v>42.7</v>
      </c>
      <c r="U770" s="34">
        <v>0.12696725</v>
      </c>
      <c r="V770">
        <v>14308.1439011897</v>
      </c>
    </row>
    <row r="771" spans="1:22" ht="16" x14ac:dyDescent="0.2">
      <c r="A771" s="2" t="s">
        <v>76</v>
      </c>
      <c r="B771" s="5">
        <v>2022</v>
      </c>
      <c r="C771" s="4">
        <v>2.1085282009186921</v>
      </c>
      <c r="D771" s="4">
        <v>1.4868231791061952</v>
      </c>
      <c r="E771" s="22">
        <v>-6.8022814214737878E-4</v>
      </c>
      <c r="F771" s="4">
        <v>0.87350000000000005</v>
      </c>
      <c r="G771" s="4">
        <v>309.83997799999997</v>
      </c>
      <c r="H771" s="7">
        <v>13.210794916061792</v>
      </c>
      <c r="I771" s="4">
        <v>3657.8338340399996</v>
      </c>
      <c r="J771" s="4">
        <v>4.2539999999999996</v>
      </c>
      <c r="K771" s="4">
        <v>60.647199999999998</v>
      </c>
      <c r="L771" s="7">
        <v>0</v>
      </c>
      <c r="M771" s="4">
        <v>8.6306999999999992</v>
      </c>
      <c r="N771" s="4">
        <v>7.3862572572476015</v>
      </c>
      <c r="O771" s="4">
        <v>2.7251041479844588E-2</v>
      </c>
      <c r="P771" s="4">
        <v>0.11323600833461769</v>
      </c>
      <c r="Q771" s="4">
        <v>3.0391918208373903</v>
      </c>
      <c r="R771" s="3">
        <v>9.2983052768775172E-3</v>
      </c>
      <c r="S771" s="33">
        <v>0.11175234300769134</v>
      </c>
      <c r="T771" s="5">
        <v>43.3</v>
      </c>
      <c r="U771" s="34">
        <v>0.16240853333333333</v>
      </c>
      <c r="V771">
        <v>14849.8539362105</v>
      </c>
    </row>
    <row r="772" spans="1:22" x14ac:dyDescent="0.2">
      <c r="U772" s="34"/>
    </row>
    <row r="773" spans="1:22" x14ac:dyDescent="0.2">
      <c r="U773" s="34"/>
    </row>
    <row r="774" spans="1:22" x14ac:dyDescent="0.2">
      <c r="U774" s="34"/>
    </row>
    <row r="776" spans="1:22" x14ac:dyDescent="0.2">
      <c r="U776" s="34"/>
    </row>
    <row r="777" spans="1:22" x14ac:dyDescent="0.2">
      <c r="U777" s="34"/>
    </row>
    <row r="778" spans="1:22" x14ac:dyDescent="0.2">
      <c r="U778" s="34"/>
    </row>
    <row r="779" spans="1:22" x14ac:dyDescent="0.2">
      <c r="U779" s="34"/>
    </row>
    <row r="780" spans="1:22" x14ac:dyDescent="0.2">
      <c r="U780" s="34"/>
    </row>
    <row r="781" spans="1:22" x14ac:dyDescent="0.2">
      <c r="U781" s="34"/>
    </row>
    <row r="782" spans="1:22" x14ac:dyDescent="0.2">
      <c r="U782" s="34"/>
    </row>
    <row r="783" spans="1:22" x14ac:dyDescent="0.2">
      <c r="U783" s="34"/>
    </row>
    <row r="784" spans="1:22" x14ac:dyDescent="0.2">
      <c r="U784" s="34"/>
    </row>
    <row r="785" spans="21:21" x14ac:dyDescent="0.2">
      <c r="U785" s="34"/>
    </row>
    <row r="786" spans="21:21" x14ac:dyDescent="0.2">
      <c r="U786" s="34"/>
    </row>
    <row r="788" spans="21:21" x14ac:dyDescent="0.2">
      <c r="U788" s="34"/>
    </row>
    <row r="789" spans="21:21" x14ac:dyDescent="0.2">
      <c r="U789" s="34"/>
    </row>
    <row r="790" spans="21:21" x14ac:dyDescent="0.2">
      <c r="U790" s="34"/>
    </row>
    <row r="791" spans="21:21" x14ac:dyDescent="0.2">
      <c r="U791" s="34"/>
    </row>
    <row r="792" spans="21:21" x14ac:dyDescent="0.2">
      <c r="U792" s="34"/>
    </row>
    <row r="793" spans="21:21" x14ac:dyDescent="0.2">
      <c r="U793" s="34"/>
    </row>
    <row r="794" spans="21:21" x14ac:dyDescent="0.2">
      <c r="U794" s="34"/>
    </row>
    <row r="795" spans="21:21" x14ac:dyDescent="0.2">
      <c r="U795" s="34"/>
    </row>
    <row r="796" spans="21:21" x14ac:dyDescent="0.2">
      <c r="U796" s="34"/>
    </row>
    <row r="797" spans="21:21" x14ac:dyDescent="0.2">
      <c r="U797" s="34"/>
    </row>
    <row r="798" spans="21:21" x14ac:dyDescent="0.2">
      <c r="U798" s="34"/>
    </row>
    <row r="800" spans="21:21" x14ac:dyDescent="0.2">
      <c r="U800" s="34"/>
    </row>
    <row r="801" spans="21:21" x14ac:dyDescent="0.2">
      <c r="U801" s="34"/>
    </row>
    <row r="802" spans="21:21" x14ac:dyDescent="0.2">
      <c r="U802" s="34"/>
    </row>
    <row r="803" spans="21:21" x14ac:dyDescent="0.2">
      <c r="U803" s="34"/>
    </row>
    <row r="804" spans="21:21" x14ac:dyDescent="0.2">
      <c r="U804" s="34"/>
    </row>
    <row r="805" spans="21:21" x14ac:dyDescent="0.2">
      <c r="U805" s="34"/>
    </row>
    <row r="806" spans="21:21" x14ac:dyDescent="0.2">
      <c r="U806" s="34"/>
    </row>
    <row r="807" spans="21:21" x14ac:dyDescent="0.2">
      <c r="U807" s="34"/>
    </row>
    <row r="808" spans="21:21" x14ac:dyDescent="0.2">
      <c r="U808" s="34"/>
    </row>
    <row r="809" spans="21:21" x14ac:dyDescent="0.2">
      <c r="U809" s="34"/>
    </row>
    <row r="810" spans="21:21" x14ac:dyDescent="0.2">
      <c r="U810" s="34"/>
    </row>
    <row r="812" spans="21:21" x14ac:dyDescent="0.2">
      <c r="U812" s="34"/>
    </row>
    <row r="813" spans="21:21" x14ac:dyDescent="0.2">
      <c r="U813" s="34"/>
    </row>
    <row r="814" spans="21:21" x14ac:dyDescent="0.2">
      <c r="U814" s="34"/>
    </row>
    <row r="815" spans="21:21" x14ac:dyDescent="0.2">
      <c r="U815" s="34"/>
    </row>
    <row r="816" spans="21:21" x14ac:dyDescent="0.2">
      <c r="U816" s="34"/>
    </row>
    <row r="817" spans="21:21" x14ac:dyDescent="0.2">
      <c r="U817" s="34"/>
    </row>
    <row r="818" spans="21:21" x14ac:dyDescent="0.2">
      <c r="U818" s="34"/>
    </row>
    <row r="819" spans="21:21" x14ac:dyDescent="0.2">
      <c r="U819" s="34"/>
    </row>
    <row r="820" spans="21:21" x14ac:dyDescent="0.2">
      <c r="U820" s="34"/>
    </row>
    <row r="821" spans="21:21" x14ac:dyDescent="0.2">
      <c r="U821" s="34"/>
    </row>
    <row r="822" spans="21:21" x14ac:dyDescent="0.2">
      <c r="U822" s="34"/>
    </row>
    <row r="827" spans="21:21" x14ac:dyDescent="0.2">
      <c r="U827" s="34"/>
    </row>
    <row r="828" spans="21:21" x14ac:dyDescent="0.2">
      <c r="U828" s="34"/>
    </row>
    <row r="829" spans="21:21" x14ac:dyDescent="0.2">
      <c r="U829" s="34"/>
    </row>
    <row r="830" spans="21:21" x14ac:dyDescent="0.2">
      <c r="U830" s="34"/>
    </row>
    <row r="831" spans="21:21" x14ac:dyDescent="0.2">
      <c r="U831" s="34"/>
    </row>
    <row r="832" spans="21:21" x14ac:dyDescent="0.2">
      <c r="U832" s="34"/>
    </row>
    <row r="833" spans="21:21" x14ac:dyDescent="0.2">
      <c r="U833" s="34"/>
    </row>
    <row r="834" spans="21:21" x14ac:dyDescent="0.2">
      <c r="U834" s="34"/>
    </row>
    <row r="836" spans="21:21" x14ac:dyDescent="0.2">
      <c r="U836" s="34"/>
    </row>
    <row r="837" spans="21:21" x14ac:dyDescent="0.2">
      <c r="U837" s="34"/>
    </row>
    <row r="838" spans="21:21" x14ac:dyDescent="0.2">
      <c r="U838" s="34"/>
    </row>
    <row r="839" spans="21:21" x14ac:dyDescent="0.2">
      <c r="U839" s="34"/>
    </row>
    <row r="840" spans="21:21" x14ac:dyDescent="0.2">
      <c r="U840" s="34"/>
    </row>
    <row r="841" spans="21:21" x14ac:dyDescent="0.2">
      <c r="U841" s="34"/>
    </row>
    <row r="842" spans="21:21" x14ac:dyDescent="0.2">
      <c r="U842" s="34"/>
    </row>
    <row r="843" spans="21:21" x14ac:dyDescent="0.2">
      <c r="U843" s="34"/>
    </row>
    <row r="844" spans="21:21" x14ac:dyDescent="0.2">
      <c r="U844" s="34"/>
    </row>
    <row r="845" spans="21:21" x14ac:dyDescent="0.2">
      <c r="U845" s="34"/>
    </row>
    <row r="846" spans="21:21" x14ac:dyDescent="0.2">
      <c r="U846" s="34"/>
    </row>
    <row r="848" spans="21:21" x14ac:dyDescent="0.2">
      <c r="U848" s="34"/>
    </row>
    <row r="849" spans="21:21" x14ac:dyDescent="0.2">
      <c r="U849" s="34"/>
    </row>
    <row r="850" spans="21:21" x14ac:dyDescent="0.2">
      <c r="U850" s="34"/>
    </row>
    <row r="851" spans="21:21" x14ac:dyDescent="0.2">
      <c r="U851" s="34"/>
    </row>
    <row r="852" spans="21:21" x14ac:dyDescent="0.2">
      <c r="U852" s="34"/>
    </row>
    <row r="853" spans="21:21" x14ac:dyDescent="0.2">
      <c r="U853" s="34"/>
    </row>
    <row r="854" spans="21:21" x14ac:dyDescent="0.2">
      <c r="U854" s="34"/>
    </row>
    <row r="855" spans="21:21" x14ac:dyDescent="0.2">
      <c r="U855" s="34"/>
    </row>
    <row r="856" spans="21:21" x14ac:dyDescent="0.2">
      <c r="U856" s="34"/>
    </row>
    <row r="857" spans="21:21" x14ac:dyDescent="0.2">
      <c r="U857" s="34"/>
    </row>
    <row r="858" spans="21:21" x14ac:dyDescent="0.2">
      <c r="U858" s="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709E-01CA-3348-89E1-64AFA3B19B4B}">
  <dimension ref="A1:W180"/>
  <sheetViews>
    <sheetView zoomScale="70" zoomScaleNormal="70" workbookViewId="0">
      <selection sqref="A1:XFD1"/>
    </sheetView>
  </sheetViews>
  <sheetFormatPr baseColWidth="10" defaultColWidth="11" defaultRowHeight="16" x14ac:dyDescent="0.2"/>
  <cols>
    <col min="1" max="1" width="27.5" style="1" bestFit="1" customWidth="1"/>
    <col min="2" max="4" width="10.83203125" style="1"/>
    <col min="5" max="8" width="14.33203125" style="1" customWidth="1"/>
    <col min="9" max="9" width="14" style="1" customWidth="1"/>
    <col min="10" max="10" width="10.5" style="1" customWidth="1"/>
    <col min="11" max="17" width="10.83203125" style="1"/>
    <col min="18" max="18" width="15.5" style="1" customWidth="1"/>
    <col min="19" max="22" width="10.83203125" style="1"/>
  </cols>
  <sheetData>
    <row r="1" spans="1:22" s="17" customFormat="1" ht="81" customHeight="1" x14ac:dyDescent="0.2">
      <c r="A1" s="17" t="s">
        <v>0</v>
      </c>
      <c r="B1" s="17" t="s">
        <v>1</v>
      </c>
      <c r="C1" s="45" t="s">
        <v>102</v>
      </c>
      <c r="D1" s="45" t="s">
        <v>103</v>
      </c>
      <c r="E1" s="46" t="s">
        <v>104</v>
      </c>
      <c r="F1" s="45" t="s">
        <v>105</v>
      </c>
      <c r="G1" s="45" t="s">
        <v>10</v>
      </c>
      <c r="H1" s="18" t="s">
        <v>87</v>
      </c>
      <c r="I1" s="18" t="s">
        <v>2</v>
      </c>
      <c r="J1" s="18" t="s">
        <v>3</v>
      </c>
      <c r="K1" s="45" t="s">
        <v>4</v>
      </c>
      <c r="L1" s="18" t="s">
        <v>5</v>
      </c>
      <c r="M1" s="18" t="s">
        <v>6</v>
      </c>
      <c r="N1" s="45" t="s">
        <v>106</v>
      </c>
      <c r="O1" s="45" t="s">
        <v>107</v>
      </c>
      <c r="P1" s="45" t="s">
        <v>108</v>
      </c>
      <c r="Q1" s="45" t="s">
        <v>109</v>
      </c>
      <c r="R1" s="19" t="s">
        <v>7</v>
      </c>
      <c r="S1" s="17" t="s">
        <v>8</v>
      </c>
      <c r="T1" s="17" t="s">
        <v>101</v>
      </c>
      <c r="U1" s="17" t="s">
        <v>9</v>
      </c>
      <c r="V1" s="17" t="s">
        <v>100</v>
      </c>
    </row>
    <row r="2" spans="1:22" x14ac:dyDescent="0.2">
      <c r="A2" s="2" t="s">
        <v>18</v>
      </c>
      <c r="B2" s="5">
        <v>2014</v>
      </c>
      <c r="C2" s="8">
        <v>3.0961599731794571</v>
      </c>
      <c r="D2" s="4">
        <v>1.3313436178884002</v>
      </c>
      <c r="E2" s="6">
        <v>3.3765893732077079E-3</v>
      </c>
      <c r="F2" s="8">
        <v>0.9859</v>
      </c>
      <c r="G2" s="4">
        <v>193604944</v>
      </c>
      <c r="H2" s="7">
        <v>397.0176596</v>
      </c>
      <c r="I2" s="4">
        <v>1035244.5417383001</v>
      </c>
      <c r="J2" s="8">
        <v>4.0347999999999997</v>
      </c>
      <c r="K2" s="8">
        <v>54.268900000000002</v>
      </c>
      <c r="L2" s="7">
        <v>0</v>
      </c>
      <c r="M2" s="8">
        <v>146.16890000000001</v>
      </c>
      <c r="N2" s="8">
        <v>12.393185733747506</v>
      </c>
      <c r="O2" s="8">
        <v>4.5067408817426158E-2</v>
      </c>
      <c r="P2" s="8">
        <v>1.6392563182039455E-4</v>
      </c>
      <c r="Q2" s="8">
        <v>2.2178837953512955</v>
      </c>
      <c r="R2" s="3">
        <v>1.3956269997979397E-2</v>
      </c>
      <c r="S2" s="33">
        <v>-3.0915019181547123E-2</v>
      </c>
      <c r="T2" s="5">
        <v>47.2</v>
      </c>
      <c r="U2" s="34">
        <v>0.31237478333333329</v>
      </c>
      <c r="V2">
        <v>493.757329875312</v>
      </c>
    </row>
    <row r="3" spans="1:22" x14ac:dyDescent="0.2">
      <c r="A3" s="2" t="s">
        <v>18</v>
      </c>
      <c r="B3" s="5">
        <v>2015</v>
      </c>
      <c r="C3" s="8">
        <v>3.7878134913221158</v>
      </c>
      <c r="D3" s="4">
        <v>0.49764243447837775</v>
      </c>
      <c r="E3" s="6">
        <v>1.0880544494761701E-2</v>
      </c>
      <c r="F3" s="8">
        <v>0.96940000000000004</v>
      </c>
      <c r="G3" s="4">
        <v>204141249</v>
      </c>
      <c r="H3" s="7">
        <v>5.4421672999999995</v>
      </c>
      <c r="I3" s="4">
        <v>1040758.5089520001</v>
      </c>
      <c r="J3" s="8">
        <v>4.4898999999999996</v>
      </c>
      <c r="K3" s="8">
        <v>51.948500000000003</v>
      </c>
      <c r="L3" s="7">
        <v>0</v>
      </c>
      <c r="M3" s="8">
        <v>188.12440000000001</v>
      </c>
      <c r="N3" s="8">
        <v>12.37219808375006</v>
      </c>
      <c r="O3" s="8">
        <v>5.3638167698117946E-2</v>
      </c>
      <c r="P3" s="8">
        <v>1.2109949341020587E-4</v>
      </c>
      <c r="Q3" s="8">
        <v>1.3229840948528031</v>
      </c>
      <c r="R3" s="3">
        <v>1.7058460894021275E-2</v>
      </c>
      <c r="S3" s="33">
        <v>-1.4834801845660568E-2</v>
      </c>
      <c r="T3" s="5">
        <v>49.2</v>
      </c>
      <c r="U3" s="34">
        <v>0.24796339999999997</v>
      </c>
      <c r="V3">
        <v>591.21169798260996</v>
      </c>
    </row>
    <row r="4" spans="1:22" x14ac:dyDescent="0.2">
      <c r="A4" s="2" t="s">
        <v>18</v>
      </c>
      <c r="B4" s="5">
        <v>2016</v>
      </c>
      <c r="C4" s="8">
        <v>6.186202923818378</v>
      </c>
      <c r="D4" s="4">
        <v>2.1006657122669425</v>
      </c>
      <c r="E4" s="6">
        <v>-2.0401369347162747E-4</v>
      </c>
      <c r="F4" s="8">
        <v>1.0412999999999999</v>
      </c>
      <c r="G4" s="4">
        <v>250223529</v>
      </c>
      <c r="H4" s="7">
        <v>22.573723000000001</v>
      </c>
      <c r="I4" s="4">
        <v>996822.48005599994</v>
      </c>
      <c r="J4" s="8">
        <v>5.0617000000000001</v>
      </c>
      <c r="K4" s="8">
        <v>45.510100000000001</v>
      </c>
      <c r="L4" s="7">
        <v>1</v>
      </c>
      <c r="M4" s="8">
        <v>166.65780000000001</v>
      </c>
      <c r="N4" s="8">
        <v>12.362120292120599</v>
      </c>
      <c r="O4" s="8">
        <v>6.218084062997413E-2</v>
      </c>
      <c r="P4" s="8">
        <v>1.3948666885757818E-4</v>
      </c>
      <c r="Q4" s="8">
        <v>0.68352549787665995</v>
      </c>
      <c r="R4" s="3">
        <v>1.6043446968495592E-2</v>
      </c>
      <c r="S4" s="33">
        <v>3.0077789031008589E-2</v>
      </c>
      <c r="T4" s="5">
        <v>45</v>
      </c>
      <c r="U4" s="34">
        <v>0.3312161666666667</v>
      </c>
      <c r="V4">
        <v>592.60561506302201</v>
      </c>
    </row>
    <row r="5" spans="1:22" x14ac:dyDescent="0.2">
      <c r="A5" s="2" t="s">
        <v>18</v>
      </c>
      <c r="B5" s="5">
        <v>2017</v>
      </c>
      <c r="C5" s="8">
        <v>6.0714483870346756</v>
      </c>
      <c r="D5" s="4">
        <v>4.6045662906606051</v>
      </c>
      <c r="E5" s="6">
        <v>-3.3394587807836246E-2</v>
      </c>
      <c r="F5" s="8">
        <v>1.0993999999999999</v>
      </c>
      <c r="G5" s="4">
        <v>485931685</v>
      </c>
      <c r="H5" s="7">
        <v>94.199037500000003</v>
      </c>
      <c r="I5" s="4">
        <v>964753.04120440001</v>
      </c>
      <c r="J5" s="8">
        <v>4.9290000000000003</v>
      </c>
      <c r="K5" s="8">
        <v>52.634999999999998</v>
      </c>
      <c r="L5" s="7">
        <v>1</v>
      </c>
      <c r="M5" s="8">
        <v>158.67689999999999</v>
      </c>
      <c r="N5" s="8">
        <v>12.465876882074532</v>
      </c>
      <c r="O5" s="8">
        <v>5.5052514081779462E-2</v>
      </c>
      <c r="P5" s="8">
        <v>1.6846739680360625E-4</v>
      </c>
      <c r="Q5" s="8">
        <v>0.60607685913892217</v>
      </c>
      <c r="R5" s="3">
        <v>1.445735787376785E-2</v>
      </c>
      <c r="S5" s="33">
        <v>0.10400088774297593</v>
      </c>
      <c r="T5" s="5">
        <v>44.4</v>
      </c>
      <c r="U5" s="34">
        <v>0.30180815833333335</v>
      </c>
      <c r="V5">
        <v>580.65674958785803</v>
      </c>
    </row>
    <row r="6" spans="1:22" x14ac:dyDescent="0.2">
      <c r="A6" s="2" t="s">
        <v>18</v>
      </c>
      <c r="B6" s="5">
        <v>2018</v>
      </c>
      <c r="C6" s="8">
        <v>5.5524564809230332</v>
      </c>
      <c r="D6" s="4">
        <v>2.0636038405755808</v>
      </c>
      <c r="E6" s="6">
        <v>-8.1085081335392807E-3</v>
      </c>
      <c r="F6" s="8">
        <v>1.0454000000000001</v>
      </c>
      <c r="G6" s="4">
        <v>474250375</v>
      </c>
      <c r="H6" s="7">
        <v>-2.4038995999999999</v>
      </c>
      <c r="I6" s="4">
        <v>940339.66001060011</v>
      </c>
      <c r="J6" s="8">
        <v>4.6368</v>
      </c>
      <c r="K6" s="8">
        <v>52.314100000000003</v>
      </c>
      <c r="L6" s="7">
        <v>1</v>
      </c>
      <c r="M6" s="8">
        <v>148.2936</v>
      </c>
      <c r="N6" s="8">
        <v>12.632416592460761</v>
      </c>
      <c r="O6" s="8">
        <v>4.7213501363906341E-2</v>
      </c>
      <c r="P6" s="8">
        <v>1.3473428873132201E-4</v>
      </c>
      <c r="Q6" s="8">
        <v>0.68128369464939964</v>
      </c>
      <c r="R6" s="3">
        <v>1.2542866686762423E-2</v>
      </c>
      <c r="S6" s="33">
        <v>0.11043420027417027</v>
      </c>
      <c r="T6" s="5">
        <v>44.1</v>
      </c>
      <c r="U6" s="34">
        <v>0.21956370000000003</v>
      </c>
      <c r="V6">
        <v>555.44645839822601</v>
      </c>
    </row>
    <row r="7" spans="1:22" x14ac:dyDescent="0.2">
      <c r="A7" s="2" t="s">
        <v>18</v>
      </c>
      <c r="B7" s="5">
        <v>2019</v>
      </c>
      <c r="C7" s="8">
        <v>5.075636214533076</v>
      </c>
      <c r="D7" s="4">
        <v>1.3498829590815822</v>
      </c>
      <c r="E7" s="6">
        <v>-3.1386784756657548E-3</v>
      </c>
      <c r="F7" s="8">
        <v>1.0384</v>
      </c>
      <c r="G7" s="4">
        <v>502635965</v>
      </c>
      <c r="H7" s="7">
        <v>5.9853595000000004</v>
      </c>
      <c r="I7" s="4">
        <v>955984.41740259994</v>
      </c>
      <c r="J7" s="8">
        <v>4.4642999999999997</v>
      </c>
      <c r="K7" s="8">
        <v>53.184199999999997</v>
      </c>
      <c r="L7" s="7">
        <v>1</v>
      </c>
      <c r="M7" s="8">
        <v>167.56200000000001</v>
      </c>
      <c r="N7" s="8">
        <v>12.649764402360429</v>
      </c>
      <c r="O7" s="8">
        <v>4.4655173960246992E-2</v>
      </c>
      <c r="P7" s="8">
        <v>1.1943326185573937E-4</v>
      </c>
      <c r="Q7" s="8">
        <v>0.78385494750055507</v>
      </c>
      <c r="R7" s="3">
        <v>1.3773242507382795E-2</v>
      </c>
      <c r="S7" s="33">
        <v>7.3452735650900214E-2</v>
      </c>
      <c r="T7" s="5">
        <v>43</v>
      </c>
      <c r="U7" s="34">
        <v>0.13867664166666668</v>
      </c>
      <c r="V7">
        <v>585.91101318036897</v>
      </c>
    </row>
    <row r="8" spans="1:22" x14ac:dyDescent="0.2">
      <c r="A8" s="2" t="s">
        <v>18</v>
      </c>
      <c r="B8" s="5">
        <v>2020</v>
      </c>
      <c r="C8" s="8">
        <v>4.0185647022419841</v>
      </c>
      <c r="D8" s="4">
        <v>2.2943528191506704</v>
      </c>
      <c r="E8" s="6">
        <v>8.542973631756566E-3</v>
      </c>
      <c r="F8" s="8">
        <v>0.99260000000000004</v>
      </c>
      <c r="G8" s="4">
        <v>677360566</v>
      </c>
      <c r="H8" s="7">
        <v>34.761659199999997</v>
      </c>
      <c r="I8" s="4">
        <v>845621.09313040006</v>
      </c>
      <c r="J8" s="8">
        <v>4.8766999999999996</v>
      </c>
      <c r="K8" s="8">
        <v>50.165900000000001</v>
      </c>
      <c r="L8" s="7">
        <v>1</v>
      </c>
      <c r="M8" s="8">
        <v>85.3001</v>
      </c>
      <c r="N8" s="8">
        <v>12.803289748188664</v>
      </c>
      <c r="O8" s="8">
        <v>4.8188003168029167E-2</v>
      </c>
      <c r="P8" s="8">
        <v>1.3707088114747236E-4</v>
      </c>
      <c r="Q8" s="8">
        <v>0.75613791653299878</v>
      </c>
      <c r="R8" s="3">
        <v>1.08120409729554E-2</v>
      </c>
      <c r="S8" s="33">
        <v>-8.0002386939810141E-2</v>
      </c>
      <c r="T8" s="5">
        <v>42.9</v>
      </c>
      <c r="U8" s="34">
        <v>0.15699912500000002</v>
      </c>
      <c r="V8">
        <v>575.58600451094503</v>
      </c>
    </row>
    <row r="9" spans="1:22" x14ac:dyDescent="0.2">
      <c r="A9" s="2" t="s">
        <v>18</v>
      </c>
      <c r="B9" s="5">
        <v>2021</v>
      </c>
      <c r="C9" s="8">
        <v>4.1445607665899047</v>
      </c>
      <c r="D9" s="4">
        <v>1.6362839706373464</v>
      </c>
      <c r="E9" s="6">
        <v>-1.0458782672602251E-3</v>
      </c>
      <c r="F9" s="8">
        <v>0.999</v>
      </c>
      <c r="G9" s="4">
        <v>724415681</v>
      </c>
      <c r="H9" s="7">
        <v>6.9468341000000002</v>
      </c>
      <c r="I9" s="4">
        <v>1019132.6960968002</v>
      </c>
      <c r="J9" s="8">
        <v>4.7586000000000004</v>
      </c>
      <c r="K9" s="8">
        <v>46.392200000000003</v>
      </c>
      <c r="L9" s="7">
        <v>1</v>
      </c>
      <c r="M9" s="8">
        <v>123.2137</v>
      </c>
      <c r="N9" s="8">
        <v>12.985680053516395</v>
      </c>
      <c r="O9" s="8">
        <v>5.2289523353857538E-2</v>
      </c>
      <c r="P9" s="8">
        <v>8.5871959653863989E-5</v>
      </c>
      <c r="Q9" s="8">
        <v>0.48588784122569284</v>
      </c>
      <c r="R9" s="3">
        <v>1.0945648154214321E-2</v>
      </c>
      <c r="S9" s="33">
        <v>1.0212251572429743E-2</v>
      </c>
      <c r="T9" s="5">
        <v>43.4</v>
      </c>
      <c r="U9" s="34">
        <v>0.20469052499999998</v>
      </c>
      <c r="V9">
        <v>554.53067503310399</v>
      </c>
    </row>
    <row r="10" spans="1:22" x14ac:dyDescent="0.2">
      <c r="A10" s="2" t="s">
        <v>18</v>
      </c>
      <c r="B10" s="5">
        <v>2022</v>
      </c>
      <c r="C10" s="8">
        <v>4.2123379660166558</v>
      </c>
      <c r="D10" s="4">
        <v>-0.56155491313155104</v>
      </c>
      <c r="E10" s="6">
        <v>2.0260969901896995E-2</v>
      </c>
      <c r="F10" s="8">
        <v>1.0091000000000001</v>
      </c>
      <c r="G10" s="4">
        <v>703655352</v>
      </c>
      <c r="H10" s="7">
        <v>-2.8658033999999999</v>
      </c>
      <c r="I10" s="4">
        <v>1303104.225206</v>
      </c>
      <c r="J10" s="8">
        <v>4.5141</v>
      </c>
      <c r="K10" s="8">
        <v>47.252200000000002</v>
      </c>
      <c r="L10" s="7">
        <v>1</v>
      </c>
      <c r="M10" s="8">
        <v>141.52780000000001</v>
      </c>
      <c r="N10" s="8">
        <v>13.137521939665259</v>
      </c>
      <c r="O10" s="8">
        <v>4.9418909647869234E-2</v>
      </c>
      <c r="P10" s="8">
        <v>5.7037663960878312E-5</v>
      </c>
      <c r="Q10" s="8">
        <v>0.48358795506220403</v>
      </c>
      <c r="R10" s="3">
        <v>1.1580120269903319E-2</v>
      </c>
      <c r="S10" s="33">
        <v>-2.0229648711727066E-2</v>
      </c>
      <c r="T10" s="5">
        <v>44.8</v>
      </c>
      <c r="U10" s="34">
        <v>0.23766538333333329</v>
      </c>
      <c r="V10">
        <v>623.75970091118199</v>
      </c>
    </row>
    <row r="11" spans="1:22" x14ac:dyDescent="0.2">
      <c r="A11" s="2"/>
      <c r="B11" s="5"/>
      <c r="C11" s="8"/>
      <c r="D11" s="4"/>
      <c r="E11" s="6"/>
      <c r="F11" s="8"/>
      <c r="G11" s="4"/>
      <c r="H11" s="7"/>
      <c r="I11" s="4"/>
      <c r="J11" s="8"/>
      <c r="K11" s="8"/>
      <c r="L11" s="7"/>
      <c r="M11" s="8"/>
      <c r="N11" s="8"/>
      <c r="O11" s="8"/>
      <c r="P11" s="8"/>
      <c r="Q11" s="8"/>
      <c r="R11" s="3"/>
      <c r="S11" s="33"/>
      <c r="T11" s="5"/>
      <c r="U11" s="34"/>
      <c r="V11"/>
    </row>
    <row r="12" spans="1:22" x14ac:dyDescent="0.2">
      <c r="A12" s="2" t="s">
        <v>19</v>
      </c>
      <c r="B12" s="5">
        <v>2014</v>
      </c>
      <c r="C12" s="8">
        <v>8.0629555373798816</v>
      </c>
      <c r="D12" s="4">
        <v>0.97347503362184196</v>
      </c>
      <c r="E12" s="6">
        <v>-1.1746482137581615E-3</v>
      </c>
      <c r="F12" s="8">
        <v>1.0507</v>
      </c>
      <c r="G12" s="4">
        <v>13943912</v>
      </c>
      <c r="H12" s="7">
        <v>44.242764699999995</v>
      </c>
      <c r="I12" s="4">
        <v>623396.03716159996</v>
      </c>
      <c r="J12" s="8">
        <v>1.9515</v>
      </c>
      <c r="K12" s="8">
        <v>47.417000000000002</v>
      </c>
      <c r="L12" s="7">
        <v>1</v>
      </c>
      <c r="M12" s="8">
        <v>185.83199999999999</v>
      </c>
      <c r="N12" s="8">
        <v>13.369692026789103</v>
      </c>
      <c r="O12" s="8">
        <v>1.4551812370045348E-2</v>
      </c>
      <c r="P12" s="8">
        <v>1.9373485611862175E-2</v>
      </c>
      <c r="Q12" s="8">
        <v>0.91054626394849247</v>
      </c>
      <c r="R12" s="3">
        <v>9.3152966431037185E-3</v>
      </c>
      <c r="S12" s="33">
        <v>4.5749844464168611E-2</v>
      </c>
      <c r="T12" s="5">
        <v>47.6</v>
      </c>
      <c r="U12" s="34">
        <v>3.642151666666666E-2</v>
      </c>
      <c r="V12">
        <v>3.2728597464304698</v>
      </c>
    </row>
    <row r="13" spans="1:22" x14ac:dyDescent="0.2">
      <c r="A13" s="2" t="s">
        <v>19</v>
      </c>
      <c r="B13" s="5">
        <v>2015</v>
      </c>
      <c r="C13" s="8">
        <v>7.3878356151397737</v>
      </c>
      <c r="D13" s="4">
        <v>-0.35129801949661354</v>
      </c>
      <c r="E13" s="6">
        <v>1.839533478935125E-2</v>
      </c>
      <c r="F13" s="8">
        <v>1.0286999999999999</v>
      </c>
      <c r="G13" s="4">
        <v>18344043</v>
      </c>
      <c r="H13" s="7">
        <v>5.4421672999999995</v>
      </c>
      <c r="I13" s="4">
        <v>855467.65627310006</v>
      </c>
      <c r="J13" s="8">
        <v>1.9486000000000001</v>
      </c>
      <c r="K13" s="8">
        <v>47.982399999999998</v>
      </c>
      <c r="L13" s="7">
        <v>1</v>
      </c>
      <c r="M13" s="8">
        <v>160.03370000000001</v>
      </c>
      <c r="N13" s="8">
        <v>13.470685840489393</v>
      </c>
      <c r="O13" s="8">
        <v>1.339938877798582E-2</v>
      </c>
      <c r="P13" s="8">
        <v>1.2698332782610322E-2</v>
      </c>
      <c r="Q13" s="8">
        <v>0.97073633530500425</v>
      </c>
      <c r="R13" s="3">
        <v>9.6131213941720566E-3</v>
      </c>
      <c r="S13" s="33">
        <v>-0.10859218146637346</v>
      </c>
      <c r="T13" s="5">
        <v>49.2</v>
      </c>
      <c r="U13" s="34">
        <v>0.13826017499999999</v>
      </c>
      <c r="V13">
        <v>3.9055002630276801</v>
      </c>
    </row>
    <row r="14" spans="1:22" x14ac:dyDescent="0.2">
      <c r="A14" s="2" t="s">
        <v>19</v>
      </c>
      <c r="B14" s="5">
        <v>2016</v>
      </c>
      <c r="C14" s="8">
        <v>6.8929866560513791</v>
      </c>
      <c r="D14" s="4">
        <v>6.611212427520619</v>
      </c>
      <c r="E14" s="6">
        <v>-5.3635897316758246E-2</v>
      </c>
      <c r="F14" s="8">
        <v>1.0203</v>
      </c>
      <c r="G14" s="4">
        <v>18057718</v>
      </c>
      <c r="H14" s="7">
        <v>-1.5608609</v>
      </c>
      <c r="I14" s="4">
        <v>1105553.4832566001</v>
      </c>
      <c r="J14" s="8">
        <v>1.8484</v>
      </c>
      <c r="K14" s="8">
        <v>48.025399999999998</v>
      </c>
      <c r="L14" s="7">
        <v>1</v>
      </c>
      <c r="M14" s="8">
        <v>130.20949999999999</v>
      </c>
      <c r="N14" s="8">
        <v>13.508925957085758</v>
      </c>
      <c r="O14" s="8">
        <v>1.6389175882520195E-2</v>
      </c>
      <c r="P14" s="8">
        <v>1.1575718880157558E-2</v>
      </c>
      <c r="Q14" s="8">
        <v>1.1050679818881035</v>
      </c>
      <c r="R14" s="3">
        <v>9.9163463214949482E-3</v>
      </c>
      <c r="S14" s="33">
        <v>-3.3001487623251439E-4</v>
      </c>
      <c r="T14" s="5">
        <v>51.5</v>
      </c>
      <c r="U14" s="34">
        <v>8.0427099999999987E-2</v>
      </c>
      <c r="V14">
        <v>4.14830066287879</v>
      </c>
    </row>
    <row r="15" spans="1:22" x14ac:dyDescent="0.2">
      <c r="A15" s="2" t="s">
        <v>19</v>
      </c>
      <c r="B15" s="5">
        <v>2017</v>
      </c>
      <c r="C15" s="8">
        <v>7.366247410166145</v>
      </c>
      <c r="D15" s="4">
        <v>1.7492267830377857</v>
      </c>
      <c r="E15" s="6">
        <v>-9.7791630419841492E-3</v>
      </c>
      <c r="F15" s="8">
        <v>1.0427</v>
      </c>
      <c r="G15" s="4">
        <v>20502955</v>
      </c>
      <c r="H15" s="7">
        <v>13.541229299999999</v>
      </c>
      <c r="I15" s="4">
        <v>1154993.4252472001</v>
      </c>
      <c r="J15" s="8">
        <v>1.8786</v>
      </c>
      <c r="K15" s="8">
        <v>49.116199999999999</v>
      </c>
      <c r="L15" s="7">
        <v>1</v>
      </c>
      <c r="M15" s="8">
        <v>136.03739999999999</v>
      </c>
      <c r="N15" s="8">
        <v>13.548025500387144</v>
      </c>
      <c r="O15" s="8">
        <v>1.6727358911089781E-2</v>
      </c>
      <c r="P15" s="8">
        <v>1.2691038825461657E-2</v>
      </c>
      <c r="Q15" s="8">
        <v>1.002612137673021</v>
      </c>
      <c r="R15" s="3">
        <v>9.8372125935890752E-3</v>
      </c>
      <c r="S15" s="33">
        <v>5.9264581238536021E-2</v>
      </c>
      <c r="T15" s="5">
        <v>51.9</v>
      </c>
      <c r="U15" s="34">
        <v>7.8288908333333337E-2</v>
      </c>
      <c r="V15">
        <v>4.3004408776112397</v>
      </c>
    </row>
    <row r="16" spans="1:22" x14ac:dyDescent="0.2">
      <c r="A16" s="2" t="s">
        <v>19</v>
      </c>
      <c r="B16" s="5">
        <v>2018</v>
      </c>
      <c r="C16" s="8">
        <v>7.5549949295258747</v>
      </c>
      <c r="D16" s="4">
        <v>1.4656011396945685</v>
      </c>
      <c r="E16" s="6">
        <v>-4.2146763167414192E-3</v>
      </c>
      <c r="F16" s="8">
        <v>1.0367</v>
      </c>
      <c r="G16" s="4">
        <v>22977368</v>
      </c>
      <c r="H16" s="7">
        <v>12.068567700000001</v>
      </c>
      <c r="I16" s="4">
        <v>1248658.2280112999</v>
      </c>
      <c r="J16" s="8">
        <v>1.7248000000000001</v>
      </c>
      <c r="K16" s="8">
        <v>47.417499999999997</v>
      </c>
      <c r="L16" s="7">
        <v>1</v>
      </c>
      <c r="M16" s="8">
        <v>135.12710000000001</v>
      </c>
      <c r="N16" s="8">
        <v>13.601068638648767</v>
      </c>
      <c r="O16" s="8">
        <v>1.9812970365008304E-2</v>
      </c>
      <c r="P16" s="8">
        <v>1.2192363447880671E-2</v>
      </c>
      <c r="Q16" s="8">
        <v>1.0294087018484854</v>
      </c>
      <c r="R16" s="3">
        <v>9.7109506524912428E-3</v>
      </c>
      <c r="S16" s="33">
        <v>0.12434534107537239</v>
      </c>
      <c r="T16" s="5">
        <v>53.5</v>
      </c>
      <c r="U16" s="34">
        <v>6.7443749999999997E-2</v>
      </c>
      <c r="V16">
        <v>4.0351301370680597</v>
      </c>
    </row>
    <row r="17" spans="1:22" x14ac:dyDescent="0.2">
      <c r="A17" s="2" t="s">
        <v>19</v>
      </c>
      <c r="B17" s="5">
        <v>2019</v>
      </c>
      <c r="C17" s="8">
        <v>7.3629803089953061</v>
      </c>
      <c r="D17" s="4">
        <v>53.616753257232091</v>
      </c>
      <c r="E17" s="6">
        <v>-0.53517818373081838</v>
      </c>
      <c r="F17" s="8">
        <v>1.0185999999999999</v>
      </c>
      <c r="G17" s="4">
        <v>25351416</v>
      </c>
      <c r="H17" s="7">
        <v>10.332114600000001</v>
      </c>
      <c r="I17" s="4">
        <v>1385793.1353120001</v>
      </c>
      <c r="J17" s="8">
        <v>1.8617999999999999</v>
      </c>
      <c r="K17" s="8">
        <v>46.4694</v>
      </c>
      <c r="L17" s="7">
        <v>1</v>
      </c>
      <c r="M17" s="8">
        <v>133.8776</v>
      </c>
      <c r="N17" s="8">
        <v>13.634483780581567</v>
      </c>
      <c r="O17" s="8">
        <v>1.9232108547207694E-2</v>
      </c>
      <c r="P17" s="8">
        <v>6.4265447933353264E-3</v>
      </c>
      <c r="Q17" s="8">
        <v>1.1087474772021242</v>
      </c>
      <c r="R17" s="3">
        <v>9.6135432086826011E-3</v>
      </c>
      <c r="S17" s="33">
        <v>1.7806883043984915E-2</v>
      </c>
      <c r="T17" s="5">
        <v>51.6</v>
      </c>
      <c r="U17" s="34">
        <v>3.4638733333333338E-2</v>
      </c>
      <c r="V17">
        <v>4.1424697356973104</v>
      </c>
    </row>
    <row r="18" spans="1:22" x14ac:dyDescent="0.2">
      <c r="A18" s="2" t="s">
        <v>19</v>
      </c>
      <c r="B18" s="5">
        <v>2020</v>
      </c>
      <c r="C18" s="8">
        <v>5.8123085026351351</v>
      </c>
      <c r="D18" s="4">
        <v>0.83456841070148124</v>
      </c>
      <c r="E18" s="6">
        <v>9.0860921866570687E-3</v>
      </c>
      <c r="F18" s="8">
        <v>1.0142</v>
      </c>
      <c r="G18" s="4">
        <v>33169661</v>
      </c>
      <c r="H18" s="7">
        <v>30.839480500000001</v>
      </c>
      <c r="I18" s="4">
        <v>1167471.0878250001</v>
      </c>
      <c r="J18" s="8">
        <v>1.5834999999999999</v>
      </c>
      <c r="K18" s="8">
        <v>45.689399999999999</v>
      </c>
      <c r="L18" s="7">
        <v>1</v>
      </c>
      <c r="M18" s="8">
        <v>113.5385</v>
      </c>
      <c r="N18" s="8">
        <v>13.661029256487701</v>
      </c>
      <c r="O18" s="8">
        <v>2.1983892892383367E-2</v>
      </c>
      <c r="P18" s="8">
        <v>8.095398549341699E-3</v>
      </c>
      <c r="Q18" s="8">
        <v>0.97781270859698655</v>
      </c>
      <c r="R18" s="3">
        <v>9.4135721608802868E-3</v>
      </c>
      <c r="S18" s="33">
        <v>-7.6232140578039884E-2</v>
      </c>
      <c r="T18" s="5">
        <v>52.4</v>
      </c>
      <c r="U18" s="34">
        <v>0.14886964166666666</v>
      </c>
      <c r="V18">
        <v>4.2034819485188404</v>
      </c>
    </row>
    <row r="19" spans="1:22" x14ac:dyDescent="0.2">
      <c r="A19" s="2" t="s">
        <v>19</v>
      </c>
      <c r="B19" s="5">
        <v>2021</v>
      </c>
      <c r="C19" s="8">
        <v>6.8805480698643953</v>
      </c>
      <c r="D19" s="4">
        <v>-2.2647762494280237E-2</v>
      </c>
      <c r="E19" s="6">
        <v>8.9116818848047688E-3</v>
      </c>
      <c r="F19" s="8">
        <v>1.0144</v>
      </c>
      <c r="G19" s="4">
        <v>35751728</v>
      </c>
      <c r="H19" s="7">
        <v>7.7844237999999999</v>
      </c>
      <c r="I19" s="4">
        <v>1104353.5534562001</v>
      </c>
      <c r="J19" s="8">
        <v>1.4229000000000001</v>
      </c>
      <c r="K19" s="8">
        <v>45.212299999999999</v>
      </c>
      <c r="L19" s="7">
        <v>1</v>
      </c>
      <c r="M19" s="8">
        <v>105.1041</v>
      </c>
      <c r="N19" s="8">
        <v>13.696921139393563</v>
      </c>
      <c r="O19" s="8">
        <v>2.1489560847954097E-2</v>
      </c>
      <c r="P19" s="8">
        <v>9.4921411334982098E-3</v>
      </c>
      <c r="Q19" s="8">
        <v>0.48327232633659334</v>
      </c>
      <c r="R19" s="3">
        <v>9.4027008745165338E-3</v>
      </c>
      <c r="S19" s="33">
        <v>0.10565502625103547</v>
      </c>
      <c r="T19" s="5">
        <v>52.8</v>
      </c>
      <c r="U19" s="34">
        <v>0.22783804166666666</v>
      </c>
      <c r="V19">
        <v>4.1432975981772104</v>
      </c>
    </row>
    <row r="20" spans="1:22" x14ac:dyDescent="0.2">
      <c r="A20" s="2" t="s">
        <v>19</v>
      </c>
      <c r="B20" s="5">
        <v>2022</v>
      </c>
      <c r="C20" s="8">
        <v>6.6469916350054916</v>
      </c>
      <c r="D20" s="4">
        <v>-7.1489786132112956</v>
      </c>
      <c r="E20" s="6">
        <v>8.1141227447594153E-2</v>
      </c>
      <c r="F20" s="8">
        <v>1.0199</v>
      </c>
      <c r="G20" s="4">
        <v>25069102</v>
      </c>
      <c r="H20" s="7">
        <v>-29.8800271</v>
      </c>
      <c r="I20" s="4">
        <v>920501.45474219986</v>
      </c>
      <c r="J20" s="8">
        <v>1.794</v>
      </c>
      <c r="K20" s="8">
        <v>46.388100000000001</v>
      </c>
      <c r="L20" s="7">
        <v>1</v>
      </c>
      <c r="M20" s="8">
        <v>125.9756</v>
      </c>
      <c r="N20" s="8">
        <v>13.758915171241865</v>
      </c>
      <c r="O20" s="8">
        <v>1.9995205140257589E-2</v>
      </c>
      <c r="P20" s="8">
        <v>1.0380548509254937E-2</v>
      </c>
      <c r="Q20" s="8">
        <v>0.64823426505953552</v>
      </c>
      <c r="R20" s="3">
        <v>9.5440952124542684E-3</v>
      </c>
      <c r="S20" s="33">
        <v>8.9347299498855171E-2</v>
      </c>
      <c r="T20" s="5">
        <v>53</v>
      </c>
      <c r="U20" s="34">
        <v>0.18707895833333332</v>
      </c>
      <c r="V20">
        <v>4.4010763454007202</v>
      </c>
    </row>
    <row r="21" spans="1:22" x14ac:dyDescent="0.2">
      <c r="A21" s="2"/>
      <c r="B21" s="5"/>
      <c r="C21" s="8"/>
      <c r="D21" s="4"/>
      <c r="E21" s="6"/>
      <c r="F21" s="8"/>
      <c r="G21" s="4"/>
      <c r="H21" s="7"/>
      <c r="I21" s="4"/>
      <c r="J21" s="8"/>
      <c r="K21" s="8"/>
      <c r="L21" s="7"/>
      <c r="M21" s="8"/>
      <c r="N21" s="8"/>
      <c r="O21" s="8"/>
      <c r="P21" s="8"/>
      <c r="Q21" s="8"/>
      <c r="R21" s="3"/>
      <c r="S21" s="33"/>
      <c r="T21" s="5"/>
      <c r="U21" s="34"/>
      <c r="V21"/>
    </row>
    <row r="22" spans="1:22" x14ac:dyDescent="0.2">
      <c r="A22" s="2" t="s">
        <v>22</v>
      </c>
      <c r="B22" s="5">
        <v>2014</v>
      </c>
      <c r="C22" s="8">
        <v>2.4656192324411594</v>
      </c>
      <c r="D22" s="4">
        <v>1.6563044127176643</v>
      </c>
      <c r="E22" s="6">
        <v>-4.3032697828539242E-3</v>
      </c>
      <c r="F22" s="8">
        <v>1.0228999999999999</v>
      </c>
      <c r="G22" s="4">
        <v>607791014</v>
      </c>
      <c r="H22" s="7">
        <v>18.165189099999999</v>
      </c>
      <c r="I22" s="4">
        <v>818248.71254920005</v>
      </c>
      <c r="J22" s="8">
        <v>2.6507000000000001</v>
      </c>
      <c r="K22" s="8">
        <v>59.881500000000003</v>
      </c>
      <c r="L22" s="7">
        <v>1</v>
      </c>
      <c r="M22" s="8">
        <v>177.6327</v>
      </c>
      <c r="N22" s="8">
        <v>12.933998853005107</v>
      </c>
      <c r="O22" s="8">
        <v>2.5550663598038054E-2</v>
      </c>
      <c r="P22" s="8">
        <v>2.0235276960396491E-2</v>
      </c>
      <c r="Q22" s="8">
        <v>1.7826463315089802</v>
      </c>
      <c r="R22" s="3">
        <v>9.3870827681256687E-3</v>
      </c>
      <c r="S22" s="33">
        <v>4.5749844464168611E-2</v>
      </c>
      <c r="T22" s="5">
        <v>47.6</v>
      </c>
      <c r="U22" s="34">
        <v>3.642151666666666E-2</v>
      </c>
      <c r="V22">
        <v>3.2728597464304698</v>
      </c>
    </row>
    <row r="23" spans="1:22" x14ac:dyDescent="0.2">
      <c r="A23" s="2" t="s">
        <v>22</v>
      </c>
      <c r="B23" s="5">
        <v>2015</v>
      </c>
      <c r="C23" s="8">
        <v>2.0699231311861057</v>
      </c>
      <c r="D23" s="4">
        <v>4.9111945741270571</v>
      </c>
      <c r="E23" s="6">
        <v>-2.7667237823457289E-2</v>
      </c>
      <c r="F23" s="8">
        <v>0.99490000000000001</v>
      </c>
      <c r="G23" s="4">
        <v>790006240</v>
      </c>
      <c r="H23" s="7">
        <v>-23.819815899999998</v>
      </c>
      <c r="I23" s="4">
        <v>908153.02885250002</v>
      </c>
      <c r="J23" s="8">
        <v>2.5562999999999998</v>
      </c>
      <c r="K23" s="8">
        <v>60.211599999999997</v>
      </c>
      <c r="L23" s="7">
        <v>1</v>
      </c>
      <c r="M23" s="8">
        <v>156.8186</v>
      </c>
      <c r="N23" s="8">
        <v>13.042404476052278</v>
      </c>
      <c r="O23" s="8">
        <v>2.5810448715187884E-2</v>
      </c>
      <c r="P23" s="8">
        <v>1.2485112236679427E-2</v>
      </c>
      <c r="Q23" s="8">
        <v>2.288676427680894</v>
      </c>
      <c r="R23" s="3">
        <v>9.3876779712601093E-3</v>
      </c>
      <c r="S23" s="33">
        <v>-0.10859218146637346</v>
      </c>
      <c r="T23" s="5">
        <v>49.2</v>
      </c>
      <c r="U23" s="34">
        <v>0.13826017499999999</v>
      </c>
      <c r="V23">
        <v>3.9055002630276801</v>
      </c>
    </row>
    <row r="24" spans="1:22" x14ac:dyDescent="0.2">
      <c r="A24" s="2" t="s">
        <v>22</v>
      </c>
      <c r="B24" s="5">
        <v>2016</v>
      </c>
      <c r="C24" s="8">
        <v>2.3686338380951049</v>
      </c>
      <c r="D24" s="4">
        <v>20.673810793683444</v>
      </c>
      <c r="E24" s="6">
        <v>-0.1914538888405741</v>
      </c>
      <c r="F24" s="8">
        <v>0.98909999999999998</v>
      </c>
      <c r="G24" s="4">
        <v>716375081</v>
      </c>
      <c r="H24" s="7">
        <v>1.0815075000000001</v>
      </c>
      <c r="I24" s="4">
        <v>1064558.1328604999</v>
      </c>
      <c r="J24" s="8">
        <v>2.4582999999999999</v>
      </c>
      <c r="K24" s="8">
        <v>54.814</v>
      </c>
      <c r="L24" s="7">
        <v>1</v>
      </c>
      <c r="M24" s="8">
        <v>145.0384</v>
      </c>
      <c r="N24" s="8">
        <v>13.093484131432112</v>
      </c>
      <c r="O24" s="8">
        <v>2.6234268140463323E-2</v>
      </c>
      <c r="P24" s="8">
        <v>1.0200753687433792E-2</v>
      </c>
      <c r="Q24" s="8">
        <v>1.8874224696631363</v>
      </c>
      <c r="R24" s="3">
        <v>9.6319344155747916E-3</v>
      </c>
      <c r="S24" s="33">
        <v>-3.3001487623251439E-4</v>
      </c>
      <c r="T24" s="5">
        <v>51.5</v>
      </c>
      <c r="U24" s="34">
        <v>8.0427099999999987E-2</v>
      </c>
      <c r="V24">
        <v>4.14830066287879</v>
      </c>
    </row>
    <row r="25" spans="1:22" x14ac:dyDescent="0.2">
      <c r="A25" s="2" t="s">
        <v>22</v>
      </c>
      <c r="B25" s="5">
        <v>2017</v>
      </c>
      <c r="C25" s="8">
        <v>2.789473135986277</v>
      </c>
      <c r="D25" s="4">
        <v>3.5536783352234034</v>
      </c>
      <c r="E25" s="6">
        <v>-2.3525813771348859E-2</v>
      </c>
      <c r="F25" s="8">
        <v>1.0239</v>
      </c>
      <c r="G25" s="4">
        <v>768352221</v>
      </c>
      <c r="H25" s="7">
        <v>8.6191569000000001</v>
      </c>
      <c r="I25" s="4">
        <v>1099357.2342060001</v>
      </c>
      <c r="J25" s="8">
        <v>2.5057999999999998</v>
      </c>
      <c r="K25" s="8">
        <v>50.792999999999999</v>
      </c>
      <c r="L25" s="7">
        <v>1</v>
      </c>
      <c r="M25" s="8">
        <v>137.64279999999999</v>
      </c>
      <c r="N25" s="8">
        <v>13.135278678682294</v>
      </c>
      <c r="O25" s="8">
        <v>2.3889822145626051E-2</v>
      </c>
      <c r="P25" s="8">
        <v>1.8599958009794623E-2</v>
      </c>
      <c r="Q25" s="8">
        <v>1.4842184402015939</v>
      </c>
      <c r="R25" s="3">
        <v>9.305239161264996E-3</v>
      </c>
      <c r="S25" s="33">
        <v>5.9264581238536021E-2</v>
      </c>
      <c r="T25" s="5">
        <v>51.9</v>
      </c>
      <c r="U25" s="34">
        <v>7.8288908333333337E-2</v>
      </c>
      <c r="V25">
        <v>4.3004408776112397</v>
      </c>
    </row>
    <row r="26" spans="1:22" x14ac:dyDescent="0.2">
      <c r="A26" s="2" t="s">
        <v>22</v>
      </c>
      <c r="B26" s="5">
        <v>2018</v>
      </c>
      <c r="C26" s="8">
        <v>3.2669501538443035</v>
      </c>
      <c r="D26" s="4">
        <v>3.7355464036000434</v>
      </c>
      <c r="E26" s="6">
        <v>-2.1573201889201379E-2</v>
      </c>
      <c r="F26" s="8">
        <v>1.0061</v>
      </c>
      <c r="G26" s="4">
        <v>1015058192</v>
      </c>
      <c r="H26" s="7">
        <v>4.0018004999999999</v>
      </c>
      <c r="I26" s="4">
        <v>1007665.7974280999</v>
      </c>
      <c r="J26" s="8">
        <v>2.1793999999999998</v>
      </c>
      <c r="K26" s="8">
        <v>48.490499999999997</v>
      </c>
      <c r="L26" s="7">
        <v>1</v>
      </c>
      <c r="M26" s="8">
        <v>146.46680000000001</v>
      </c>
      <c r="N26" s="8">
        <v>13.188317851232576</v>
      </c>
      <c r="O26" s="8">
        <v>2.6485182013397397E-2</v>
      </c>
      <c r="P26" s="8">
        <v>1.4680530463194173E-2</v>
      </c>
      <c r="Q26" s="8">
        <v>1.3401894364726121</v>
      </c>
      <c r="R26" s="3">
        <v>9.3551337693775962E-3</v>
      </c>
      <c r="S26" s="33">
        <v>0.12434534107537239</v>
      </c>
      <c r="T26" s="5">
        <v>53.5</v>
      </c>
      <c r="U26" s="34">
        <v>6.7443749999999997E-2</v>
      </c>
      <c r="V26">
        <v>4.0351301370680597</v>
      </c>
    </row>
    <row r="27" spans="1:22" x14ac:dyDescent="0.2">
      <c r="A27" s="2" t="s">
        <v>22</v>
      </c>
      <c r="B27" s="5">
        <v>2019</v>
      </c>
      <c r="C27" s="8">
        <v>2.5759197103832827</v>
      </c>
      <c r="D27" s="4">
        <v>-25.79389291549996</v>
      </c>
      <c r="E27" s="6">
        <v>0.27036204156126781</v>
      </c>
      <c r="F27" s="8">
        <v>0.99099999999999999</v>
      </c>
      <c r="G27" s="4">
        <v>1026346675</v>
      </c>
      <c r="H27" s="7">
        <v>-5.9431615999999998</v>
      </c>
      <c r="I27" s="4">
        <v>1134395.8266795001</v>
      </c>
      <c r="J27" s="8">
        <v>2.1179000000000001</v>
      </c>
      <c r="K27" s="8">
        <v>55.509099999999997</v>
      </c>
      <c r="L27" s="7">
        <v>1</v>
      </c>
      <c r="M27" s="8">
        <v>148.62440000000001</v>
      </c>
      <c r="N27" s="8">
        <v>13.25906962110137</v>
      </c>
      <c r="O27" s="8">
        <v>2.4789804358583224E-2</v>
      </c>
      <c r="P27" s="8">
        <v>1.7202315595087482E-2</v>
      </c>
      <c r="Q27" s="8">
        <v>1.7092113475511383</v>
      </c>
      <c r="R27" s="3">
        <v>9.417624712328012E-3</v>
      </c>
      <c r="S27" s="33">
        <v>1.7806883043984915E-2</v>
      </c>
      <c r="T27" s="5">
        <v>51.6</v>
      </c>
      <c r="U27" s="34">
        <v>3.4638733333333338E-2</v>
      </c>
      <c r="V27">
        <v>4.1424697356973104</v>
      </c>
    </row>
    <row r="28" spans="1:22" x14ac:dyDescent="0.2">
      <c r="A28" s="2" t="s">
        <v>22</v>
      </c>
      <c r="B28" s="5">
        <v>2020</v>
      </c>
      <c r="C28" s="8">
        <v>0.83131305736556482</v>
      </c>
      <c r="D28" s="4">
        <v>-0.7591163269087593</v>
      </c>
      <c r="E28" s="6">
        <v>3.4052417107507685E-2</v>
      </c>
      <c r="F28" s="8">
        <v>0.97919999999999996</v>
      </c>
      <c r="G28" s="4">
        <v>1000026427</v>
      </c>
      <c r="H28" s="7">
        <v>-13.7435513</v>
      </c>
      <c r="I28" s="4">
        <v>1302712.9400672999</v>
      </c>
      <c r="J28" s="8">
        <v>2.0291000000000001</v>
      </c>
      <c r="K28" s="8">
        <v>59.218200000000003</v>
      </c>
      <c r="L28" s="7">
        <v>1</v>
      </c>
      <c r="M28" s="8">
        <v>171.87870000000001</v>
      </c>
      <c r="N28" s="8">
        <v>13.308602083807106</v>
      </c>
      <c r="O28" s="8">
        <v>3.2622393617850298E-2</v>
      </c>
      <c r="P28" s="8">
        <v>1.5521333295875583E-2</v>
      </c>
      <c r="Q28" s="8">
        <v>5.4478382893607025</v>
      </c>
      <c r="R28" s="3">
        <v>9.0770436130754393E-3</v>
      </c>
      <c r="S28" s="33">
        <v>-7.6232140578039884E-2</v>
      </c>
      <c r="T28" s="5">
        <v>52.4</v>
      </c>
      <c r="U28" s="34">
        <v>0.14886964166666666</v>
      </c>
      <c r="V28">
        <v>4.2034819485188404</v>
      </c>
    </row>
    <row r="29" spans="1:22" x14ac:dyDescent="0.2">
      <c r="A29" s="2" t="s">
        <v>22</v>
      </c>
      <c r="B29" s="5">
        <v>2021</v>
      </c>
      <c r="C29" s="8">
        <v>2.226237370031352</v>
      </c>
      <c r="D29" s="4">
        <v>-7.0189779720998331</v>
      </c>
      <c r="E29" s="6">
        <v>8.5209316141861557E-2</v>
      </c>
      <c r="F29" s="8">
        <v>0.99909999999999999</v>
      </c>
      <c r="G29" s="4">
        <v>1088081252</v>
      </c>
      <c r="H29" s="7">
        <v>98.415579900000012</v>
      </c>
      <c r="I29" s="4">
        <v>1329264.1457691998</v>
      </c>
      <c r="J29" s="8">
        <v>2.0586000000000002</v>
      </c>
      <c r="K29" s="8">
        <v>55.918300000000002</v>
      </c>
      <c r="L29" s="7">
        <v>1</v>
      </c>
      <c r="M29" s="8">
        <v>154.8467</v>
      </c>
      <c r="N29" s="8">
        <v>13.340545936119074</v>
      </c>
      <c r="O29" s="8">
        <v>3.5245513801534699E-2</v>
      </c>
      <c r="P29" s="8">
        <v>1.753303720687785E-2</v>
      </c>
      <c r="Q29" s="8">
        <v>0.91257703453314365</v>
      </c>
      <c r="R29" s="3">
        <v>8.9486696765062618E-3</v>
      </c>
      <c r="S29" s="33">
        <v>0.10565502625103547</v>
      </c>
      <c r="T29" s="5">
        <v>52.8</v>
      </c>
      <c r="U29" s="34">
        <v>0.22783804166666666</v>
      </c>
      <c r="V29">
        <v>4.1432975981772104</v>
      </c>
    </row>
    <row r="30" spans="1:22" x14ac:dyDescent="0.2">
      <c r="A30" s="2" t="s">
        <v>22</v>
      </c>
      <c r="B30" s="5">
        <v>2022</v>
      </c>
      <c r="C30" s="8">
        <v>2.621138281434666</v>
      </c>
      <c r="D30" s="4">
        <v>21.691304430445793</v>
      </c>
      <c r="E30" s="6">
        <v>-0.204271492776504</v>
      </c>
      <c r="F30" s="8">
        <v>0.99739999999999995</v>
      </c>
      <c r="G30" s="4">
        <v>1227595163</v>
      </c>
      <c r="H30" s="7">
        <v>-25.731942099999998</v>
      </c>
      <c r="I30" s="4">
        <v>1332109.00755</v>
      </c>
      <c r="J30" s="8">
        <v>2.0819999999999999</v>
      </c>
      <c r="K30" s="8">
        <v>46.146299999999997</v>
      </c>
      <c r="L30" s="7">
        <v>1</v>
      </c>
      <c r="M30" s="8">
        <v>157.50190000000001</v>
      </c>
      <c r="N30" s="8">
        <v>13.410127284007604</v>
      </c>
      <c r="O30" s="8">
        <v>3.0470086214299474E-2</v>
      </c>
      <c r="P30" s="8">
        <v>1.4654557347844656E-2</v>
      </c>
      <c r="Q30" s="8">
        <v>0.84219395779814366</v>
      </c>
      <c r="R30" s="3">
        <v>9.3996330154068625E-3</v>
      </c>
      <c r="S30" s="33">
        <v>8.9347299498855171E-2</v>
      </c>
      <c r="T30" s="5">
        <v>53</v>
      </c>
      <c r="U30" s="34">
        <v>0.18707895833333332</v>
      </c>
      <c r="V30">
        <v>4.4010763454007202</v>
      </c>
    </row>
    <row r="31" spans="1:22" x14ac:dyDescent="0.2">
      <c r="A31" s="2"/>
      <c r="B31" s="5"/>
      <c r="C31" s="8"/>
      <c r="D31" s="4"/>
      <c r="E31" s="6"/>
      <c r="F31" s="8"/>
      <c r="G31" s="4"/>
      <c r="H31" s="7"/>
      <c r="I31" s="4"/>
      <c r="J31" s="8"/>
      <c r="K31" s="8"/>
      <c r="L31" s="7"/>
      <c r="M31" s="8"/>
      <c r="N31" s="8"/>
      <c r="O31" s="8"/>
      <c r="P31" s="8"/>
      <c r="Q31" s="8"/>
      <c r="R31" s="3"/>
      <c r="S31" s="33"/>
      <c r="T31" s="5"/>
      <c r="U31" s="34"/>
      <c r="V31"/>
    </row>
    <row r="32" spans="1:22" x14ac:dyDescent="0.2">
      <c r="A32" s="2" t="s">
        <v>24</v>
      </c>
      <c r="B32" s="5">
        <v>2014</v>
      </c>
      <c r="C32" s="8">
        <v>12.711914546935189</v>
      </c>
      <c r="D32" s="4">
        <v>1.3431641188732379</v>
      </c>
      <c r="E32" s="6">
        <v>1.400031602471432E-3</v>
      </c>
      <c r="F32" s="8">
        <v>1.0286</v>
      </c>
      <c r="G32" s="4">
        <v>200529.51</v>
      </c>
      <c r="H32" s="7">
        <v>19.987133767294541</v>
      </c>
      <c r="I32" s="4">
        <v>123253.7175886</v>
      </c>
      <c r="J32" s="8">
        <v>1.7283999999999999</v>
      </c>
      <c r="K32" s="8">
        <v>42.525599999999997</v>
      </c>
      <c r="L32" s="7">
        <v>1</v>
      </c>
      <c r="M32" s="8">
        <v>153.3777</v>
      </c>
      <c r="N32" s="8">
        <v>12.155710527989179</v>
      </c>
      <c r="O32" s="8">
        <v>1.5101970541904677E-2</v>
      </c>
      <c r="P32" s="8">
        <v>2.5692547952573436E-2</v>
      </c>
      <c r="Q32" s="8">
        <v>1.2792279793673409</v>
      </c>
      <c r="R32" s="3">
        <v>8.0573550714927514E-3</v>
      </c>
      <c r="S32" s="33">
        <v>4.5749844464168611E-2</v>
      </c>
      <c r="T32" s="5">
        <v>47.6</v>
      </c>
      <c r="U32" s="34">
        <v>3.642151666666666E-2</v>
      </c>
      <c r="V32">
        <v>3.2728597464304698</v>
      </c>
    </row>
    <row r="33" spans="1:22" x14ac:dyDescent="0.2">
      <c r="A33" s="2" t="s">
        <v>24</v>
      </c>
      <c r="B33" s="5">
        <v>2015</v>
      </c>
      <c r="C33" s="8">
        <v>11.596404473211514</v>
      </c>
      <c r="D33" s="4">
        <v>-5.7618470291943762</v>
      </c>
      <c r="E33" s="6">
        <v>7.4903234852592815E-2</v>
      </c>
      <c r="F33" s="8">
        <v>1.0139</v>
      </c>
      <c r="G33" s="4">
        <v>157622.016</v>
      </c>
      <c r="H33" s="7">
        <v>-21.397097115531778</v>
      </c>
      <c r="I33" s="4">
        <v>94863.685778400002</v>
      </c>
      <c r="J33" s="8">
        <v>1.6113999999999999</v>
      </c>
      <c r="K33" s="8">
        <v>44.481999999999999</v>
      </c>
      <c r="L33" s="7">
        <v>1</v>
      </c>
      <c r="M33" s="8">
        <v>117.31319999999999</v>
      </c>
      <c r="N33" s="8">
        <v>12.218202006512442</v>
      </c>
      <c r="O33" s="8">
        <v>1.1301951815530878E-2</v>
      </c>
      <c r="P33" s="8">
        <v>9.7359633916376479E-3</v>
      </c>
      <c r="Q33" s="8">
        <v>1.3907400366388996</v>
      </c>
      <c r="R33" s="3">
        <v>8.1163748992233321E-3</v>
      </c>
      <c r="S33" s="33">
        <v>-0.10859218146637346</v>
      </c>
      <c r="T33" s="5">
        <v>49.2</v>
      </c>
      <c r="U33" s="34">
        <v>0.13826017499999999</v>
      </c>
      <c r="V33">
        <v>3.9055002630276801</v>
      </c>
    </row>
    <row r="34" spans="1:22" x14ac:dyDescent="0.2">
      <c r="A34" s="2" t="s">
        <v>24</v>
      </c>
      <c r="B34" s="5">
        <v>2016</v>
      </c>
      <c r="C34" s="8">
        <v>9.6661246515114119</v>
      </c>
      <c r="D34" s="4">
        <v>11.632385597071126</v>
      </c>
      <c r="E34" s="6">
        <v>-0.10342150971702377</v>
      </c>
      <c r="F34" s="8">
        <v>1.0068999999999999</v>
      </c>
      <c r="G34" s="4">
        <v>159472.609</v>
      </c>
      <c r="H34" s="7">
        <v>1.1740701248231677</v>
      </c>
      <c r="I34" s="4">
        <v>95723.8180632</v>
      </c>
      <c r="J34" s="8">
        <v>1.5019</v>
      </c>
      <c r="K34" s="8">
        <v>51.236899999999999</v>
      </c>
      <c r="L34" s="7">
        <v>1</v>
      </c>
      <c r="M34" s="8">
        <v>78.840500000000006</v>
      </c>
      <c r="N34" s="8">
        <v>12.257119946163742</v>
      </c>
      <c r="O34" s="8">
        <v>9.4316876396841783E-3</v>
      </c>
      <c r="P34" s="8">
        <v>9.986024409730683E-3</v>
      </c>
      <c r="Q34" s="8">
        <v>1.7603625637445504</v>
      </c>
      <c r="R34" s="3">
        <v>8.1337365034888937E-3</v>
      </c>
      <c r="S34" s="33">
        <v>-3.3001487623251439E-4</v>
      </c>
      <c r="T34" s="5">
        <v>51.5</v>
      </c>
      <c r="U34" s="34">
        <v>8.0427099999999987E-2</v>
      </c>
      <c r="V34">
        <v>4.14830066287879</v>
      </c>
    </row>
    <row r="35" spans="1:22" x14ac:dyDescent="0.2">
      <c r="A35" s="2" t="s">
        <v>24</v>
      </c>
      <c r="B35" s="5">
        <v>2017</v>
      </c>
      <c r="C35" s="8">
        <v>10.266292599186068</v>
      </c>
      <c r="D35" s="4">
        <v>1.5581147643879889</v>
      </c>
      <c r="E35" s="6">
        <v>-3.1495691274826408E-3</v>
      </c>
      <c r="F35" s="8">
        <v>1.0117</v>
      </c>
      <c r="G35" s="4">
        <v>171332.247</v>
      </c>
      <c r="H35" s="7">
        <v>7.4367868403030934</v>
      </c>
      <c r="I35" s="4">
        <v>121502.23742469998</v>
      </c>
      <c r="J35" s="8">
        <v>1.6335999999999999</v>
      </c>
      <c r="K35" s="8">
        <v>44.113100000000003</v>
      </c>
      <c r="L35" s="7">
        <v>1</v>
      </c>
      <c r="M35" s="8">
        <v>63.588099999999997</v>
      </c>
      <c r="N35" s="8">
        <v>12.296655318261575</v>
      </c>
      <c r="O35" s="8">
        <v>9.1764797259418739E-3</v>
      </c>
      <c r="P35" s="8">
        <v>1.4273580855921546E-2</v>
      </c>
      <c r="Q35" s="8">
        <v>1.3175998657837045</v>
      </c>
      <c r="R35" s="3">
        <v>8.1554844317803313E-3</v>
      </c>
      <c r="S35" s="33">
        <v>5.9264581238536021E-2</v>
      </c>
      <c r="T35" s="5">
        <v>51.9</v>
      </c>
      <c r="U35" s="34">
        <v>7.8288908333333337E-2</v>
      </c>
      <c r="V35">
        <v>4.3004408776112397</v>
      </c>
    </row>
    <row r="36" spans="1:22" x14ac:dyDescent="0.2">
      <c r="A36" s="2" t="s">
        <v>24</v>
      </c>
      <c r="B36" s="5">
        <v>2018</v>
      </c>
      <c r="C36" s="8">
        <v>12.170039945633803</v>
      </c>
      <c r="D36" s="4">
        <v>1.6349309558269385</v>
      </c>
      <c r="E36" s="6">
        <v>-2.636352172614145E-3</v>
      </c>
      <c r="F36" s="8">
        <v>1.0121</v>
      </c>
      <c r="G36" s="4">
        <v>177098.05499999999</v>
      </c>
      <c r="H36" s="7">
        <v>3.3652789249883535</v>
      </c>
      <c r="I36" s="4">
        <v>113237.00668380001</v>
      </c>
      <c r="J36" s="8">
        <v>1.6146</v>
      </c>
      <c r="K36" s="8">
        <v>42.884500000000003</v>
      </c>
      <c r="L36" s="7">
        <v>1</v>
      </c>
      <c r="M36" s="8">
        <v>67.490600000000001</v>
      </c>
      <c r="N36" s="8">
        <v>12.342863007565329</v>
      </c>
      <c r="O36" s="8">
        <v>7.7598978448350942E-3</v>
      </c>
      <c r="P36" s="8">
        <v>1.6551267760345701E-2</v>
      </c>
      <c r="Q36" s="8">
        <v>1.2248300023096053</v>
      </c>
      <c r="R36" s="3">
        <v>8.2774368554274103E-3</v>
      </c>
      <c r="S36" s="33">
        <v>0.12434534107537239</v>
      </c>
      <c r="T36" s="5">
        <v>53.5</v>
      </c>
      <c r="U36" s="34">
        <v>6.7443749999999997E-2</v>
      </c>
      <c r="V36">
        <v>4.0351301370680597</v>
      </c>
    </row>
    <row r="37" spans="1:22" x14ac:dyDescent="0.2">
      <c r="A37" s="2" t="s">
        <v>24</v>
      </c>
      <c r="B37" s="5">
        <v>2019</v>
      </c>
      <c r="C37" s="8">
        <v>11.849072963589219</v>
      </c>
      <c r="D37" s="4">
        <v>-0.79313809992527795</v>
      </c>
      <c r="E37" s="6">
        <v>1.8151842649246106E-2</v>
      </c>
      <c r="F37" s="8">
        <v>1.0083</v>
      </c>
      <c r="G37" s="4">
        <v>174185.69399999999</v>
      </c>
      <c r="H37" s="7">
        <v>-1.6444906749540558</v>
      </c>
      <c r="I37" s="4">
        <v>107808.3993052</v>
      </c>
      <c r="J37" s="8">
        <v>1.4685999999999999</v>
      </c>
      <c r="K37" s="8">
        <v>45.088500000000003</v>
      </c>
      <c r="L37" s="7">
        <v>1</v>
      </c>
      <c r="M37" s="8">
        <v>57.309199999999997</v>
      </c>
      <c r="N37" s="8">
        <v>12.379532599882708</v>
      </c>
      <c r="O37" s="8">
        <v>9.1203648848676676E-3</v>
      </c>
      <c r="P37" s="8">
        <v>6.9481483122950599E-3</v>
      </c>
      <c r="Q37" s="8">
        <v>1.4252711421581876</v>
      </c>
      <c r="R37" s="3">
        <v>8.5441296874457315E-3</v>
      </c>
      <c r="S37" s="33">
        <v>1.7806883043984915E-2</v>
      </c>
      <c r="T37" s="5">
        <v>51.6</v>
      </c>
      <c r="U37" s="34">
        <v>3.4638733333333338E-2</v>
      </c>
      <c r="V37">
        <v>4.1424697356973104</v>
      </c>
    </row>
    <row r="38" spans="1:22" x14ac:dyDescent="0.2">
      <c r="A38" s="2" t="s">
        <v>24</v>
      </c>
      <c r="B38" s="5">
        <v>2020</v>
      </c>
      <c r="C38" s="8">
        <v>11.050369331131003</v>
      </c>
      <c r="D38" s="4">
        <v>-26.944258740400226</v>
      </c>
      <c r="E38" s="6">
        <v>0.29658576017377219</v>
      </c>
      <c r="F38" s="8">
        <v>0.97589999999999999</v>
      </c>
      <c r="G38" s="4">
        <v>154878.88399999999</v>
      </c>
      <c r="H38" s="7">
        <v>-11.084038853385973</v>
      </c>
      <c r="I38" s="4">
        <v>89623.365932399989</v>
      </c>
      <c r="J38" s="8">
        <v>1.3684000000000001</v>
      </c>
      <c r="K38" s="8">
        <v>44.878599999999999</v>
      </c>
      <c r="L38" s="7">
        <v>1</v>
      </c>
      <c r="M38" s="8">
        <v>51.6492</v>
      </c>
      <c r="N38" s="8">
        <v>12.443526064557776</v>
      </c>
      <c r="O38" s="8">
        <v>8.4561970184128792E-3</v>
      </c>
      <c r="P38" s="8">
        <v>1.2094881312148927E-2</v>
      </c>
      <c r="Q38" s="8">
        <v>1.3982847937010474</v>
      </c>
      <c r="R38" s="3">
        <v>8.5706757088377539E-3</v>
      </c>
      <c r="S38" s="33">
        <v>-7.6232140578039884E-2</v>
      </c>
      <c r="T38" s="5">
        <v>52.4</v>
      </c>
      <c r="U38" s="34">
        <v>0.14886964166666666</v>
      </c>
      <c r="V38">
        <v>4.2034819485188404</v>
      </c>
    </row>
    <row r="39" spans="1:22" x14ac:dyDescent="0.2">
      <c r="A39" s="2" t="s">
        <v>24</v>
      </c>
      <c r="B39" s="5">
        <v>2021</v>
      </c>
      <c r="C39" s="8">
        <v>12.380479843856643</v>
      </c>
      <c r="D39" s="4">
        <v>1.0120273881931092</v>
      </c>
      <c r="E39" s="6">
        <v>3.3943811409650683E-3</v>
      </c>
      <c r="F39" s="8">
        <v>0.99029999999999996</v>
      </c>
      <c r="G39" s="4">
        <v>285689.56900000002</v>
      </c>
      <c r="H39" s="7">
        <v>84.459986811371934</v>
      </c>
      <c r="I39" s="4">
        <v>71763.31907160001</v>
      </c>
      <c r="J39" s="8">
        <v>1.5087999999999999</v>
      </c>
      <c r="K39" s="8">
        <v>38.606900000000003</v>
      </c>
      <c r="L39" s="7">
        <v>1</v>
      </c>
      <c r="M39" s="8">
        <v>56.080800000000004</v>
      </c>
      <c r="N39" s="8">
        <v>12.518252065167815</v>
      </c>
      <c r="O39" s="8">
        <v>1.1193225421990638E-2</v>
      </c>
      <c r="P39" s="8">
        <v>8.0748076106826223E-3</v>
      </c>
      <c r="Q39" s="8">
        <v>0.70859469693968902</v>
      </c>
      <c r="R39" s="3">
        <v>8.6115309378962442E-3</v>
      </c>
      <c r="S39" s="33">
        <v>0.10565502625103547</v>
      </c>
      <c r="T39" s="5">
        <v>52.8</v>
      </c>
      <c r="U39" s="34">
        <v>0.22783804166666666</v>
      </c>
      <c r="V39">
        <v>4.1432975981772104</v>
      </c>
    </row>
    <row r="40" spans="1:22" x14ac:dyDescent="0.2">
      <c r="A40" s="2" t="s">
        <v>24</v>
      </c>
      <c r="B40" s="5">
        <v>2022</v>
      </c>
      <c r="C40" s="8">
        <v>12.592635948034617</v>
      </c>
      <c r="D40" s="4">
        <v>-2.5051666706165334</v>
      </c>
      <c r="E40" s="6">
        <v>3.7463862609966696E-2</v>
      </c>
      <c r="F40" s="8">
        <v>0.98850000000000005</v>
      </c>
      <c r="G40" s="4">
        <v>214693.15599999999</v>
      </c>
      <c r="H40" s="7">
        <v>-24.85089436359506</v>
      </c>
      <c r="I40" s="4">
        <v>82001.969498599996</v>
      </c>
      <c r="J40" s="8">
        <v>1.5322</v>
      </c>
      <c r="K40" s="8">
        <v>37.7057</v>
      </c>
      <c r="L40" s="7">
        <v>1</v>
      </c>
      <c r="M40" s="8">
        <v>41.000999999999998</v>
      </c>
      <c r="N40" s="8">
        <v>12.566961557719935</v>
      </c>
      <c r="O40" s="8">
        <v>1.0340451573581107E-2</v>
      </c>
      <c r="P40" s="8">
        <v>7.7892487541085685E-3</v>
      </c>
      <c r="Q40" s="8">
        <v>0.55938379404055516</v>
      </c>
      <c r="R40" s="3">
        <v>8.5581921106166609E-3</v>
      </c>
      <c r="S40" s="33">
        <v>8.9347299498855171E-2</v>
      </c>
      <c r="T40" s="5">
        <v>53</v>
      </c>
      <c r="U40" s="34">
        <v>0.18707895833333332</v>
      </c>
      <c r="V40">
        <v>4.4010763454007202</v>
      </c>
    </row>
    <row r="42" spans="1:22" s="2" customFormat="1" x14ac:dyDescent="0.2">
      <c r="A42" s="2" t="s">
        <v>64</v>
      </c>
      <c r="B42" s="5">
        <v>2014</v>
      </c>
      <c r="C42" s="4">
        <v>2.4385955052679984</v>
      </c>
      <c r="D42" s="4">
        <v>2.8669415698552645</v>
      </c>
      <c r="E42" s="9">
        <v>-1.58720103984312E-2</v>
      </c>
      <c r="F42" s="4">
        <v>0.99539999999999995</v>
      </c>
      <c r="G42" s="4">
        <v>3466.34</v>
      </c>
      <c r="H42" s="7">
        <v>40.160040111114256</v>
      </c>
      <c r="I42" s="4">
        <v>100244.24785850001</v>
      </c>
      <c r="J42" s="4">
        <v>0.95499999999999996</v>
      </c>
      <c r="K42" s="4">
        <v>45.425199999999997</v>
      </c>
      <c r="L42" s="7">
        <v>1</v>
      </c>
      <c r="M42" s="4">
        <v>105.4738</v>
      </c>
      <c r="N42" s="4">
        <v>10.994247458451499</v>
      </c>
      <c r="O42" s="4">
        <v>1.0594885707449819E-2</v>
      </c>
      <c r="P42" s="7">
        <v>3.7439504744963367E-2</v>
      </c>
      <c r="Q42" s="4">
        <v>2.0153281387974076</v>
      </c>
      <c r="R42" s="3">
        <v>1.0448342481854228E-2</v>
      </c>
      <c r="S42" s="33">
        <v>4.5749844464168611E-2</v>
      </c>
      <c r="T42" s="5">
        <v>47.6</v>
      </c>
      <c r="U42" s="34">
        <v>3.642151666666666E-2</v>
      </c>
      <c r="V42">
        <v>3.2728597464304698</v>
      </c>
    </row>
    <row r="43" spans="1:22" s="2" customFormat="1" x14ac:dyDescent="0.2">
      <c r="A43" s="2" t="s">
        <v>64</v>
      </c>
      <c r="B43" s="5">
        <v>2015</v>
      </c>
      <c r="C43" s="4">
        <v>2.4287141798521796</v>
      </c>
      <c r="D43" s="4">
        <v>3.8182395685881136</v>
      </c>
      <c r="E43" s="9">
        <v>-2.2497134218345326E-2</v>
      </c>
      <c r="F43" s="4">
        <v>0.97409999999999997</v>
      </c>
      <c r="G43" s="4">
        <v>3428.76</v>
      </c>
      <c r="H43" s="7">
        <v>-1.0841406209431252</v>
      </c>
      <c r="I43" s="4">
        <v>107777.93</v>
      </c>
      <c r="J43" s="4">
        <v>0.76629999999999998</v>
      </c>
      <c r="K43" s="4">
        <v>50.398299999999999</v>
      </c>
      <c r="L43" s="7">
        <v>1</v>
      </c>
      <c r="M43" s="4">
        <v>67.978099999999998</v>
      </c>
      <c r="N43" s="4">
        <v>10.99954230683289</v>
      </c>
      <c r="O43" s="4">
        <v>3.2475364905997358E-3</v>
      </c>
      <c r="P43" s="7">
        <v>1.706024307688318E-2</v>
      </c>
      <c r="Q43" s="4">
        <v>3.2990533619765587</v>
      </c>
      <c r="R43" s="3">
        <v>3.2174994549529538E-2</v>
      </c>
      <c r="S43" s="33">
        <v>-0.10859218146637346</v>
      </c>
      <c r="T43" s="5">
        <v>49.2</v>
      </c>
      <c r="U43" s="34">
        <v>0.13826017499999999</v>
      </c>
      <c r="V43">
        <v>3.9055002630276801</v>
      </c>
    </row>
    <row r="44" spans="1:22" s="2" customFormat="1" x14ac:dyDescent="0.2">
      <c r="A44" s="2" t="s">
        <v>64</v>
      </c>
      <c r="B44" s="5">
        <v>2016</v>
      </c>
      <c r="C44" s="4">
        <v>3.1483366316693586</v>
      </c>
      <c r="D44" s="4">
        <v>23.534337104261887</v>
      </c>
      <c r="E44" s="9">
        <v>-0.22623764534454588</v>
      </c>
      <c r="F44" s="4">
        <v>0.97060000000000002</v>
      </c>
      <c r="G44" s="4">
        <v>3213.04</v>
      </c>
      <c r="H44" s="7">
        <v>-6.2914873015317561</v>
      </c>
      <c r="I44" s="4">
        <v>115311.62</v>
      </c>
      <c r="J44" s="4">
        <v>0.52</v>
      </c>
      <c r="K44" s="4">
        <v>52.397300000000001</v>
      </c>
      <c r="L44" s="7">
        <v>1</v>
      </c>
      <c r="M44" s="4">
        <v>83.598200000000006</v>
      </c>
      <c r="N44" s="4">
        <v>11.005214801341253</v>
      </c>
      <c r="O44" s="4">
        <v>2.4275296945817791E-3</v>
      </c>
      <c r="P44" s="7">
        <v>1.7744639976457449E-2</v>
      </c>
      <c r="Q44" s="4">
        <v>2.4807707299111477</v>
      </c>
      <c r="R44" s="3">
        <v>3.3220436719085811E-2</v>
      </c>
      <c r="S44" s="33">
        <v>-3.3001487623251439E-4</v>
      </c>
      <c r="T44" s="5">
        <v>51.5</v>
      </c>
      <c r="U44" s="34">
        <v>8.0427099999999987E-2</v>
      </c>
      <c r="V44">
        <v>4.14830066287879</v>
      </c>
    </row>
    <row r="45" spans="1:22" s="2" customFormat="1" x14ac:dyDescent="0.2">
      <c r="A45" s="2" t="s">
        <v>64</v>
      </c>
      <c r="B45" s="5">
        <v>2017</v>
      </c>
      <c r="C45" s="4">
        <v>2.7542739496595572</v>
      </c>
      <c r="D45" s="4">
        <v>-0.42504766969553626</v>
      </c>
      <c r="E45" s="9">
        <v>1.5574578226834874E-2</v>
      </c>
      <c r="F45" s="4">
        <v>0.94599999999999995</v>
      </c>
      <c r="G45" s="4">
        <v>4098.72</v>
      </c>
      <c r="H45" s="7">
        <v>27.565171924408045</v>
      </c>
      <c r="I45" s="4">
        <v>122845.3</v>
      </c>
      <c r="J45" s="4">
        <v>0.81430000000000002</v>
      </c>
      <c r="K45" s="4">
        <v>63.267499999999998</v>
      </c>
      <c r="L45" s="7">
        <v>1</v>
      </c>
      <c r="M45" s="4">
        <v>105.58159999999999</v>
      </c>
      <c r="N45" s="4">
        <v>11.156376098860557</v>
      </c>
      <c r="O45" s="4">
        <v>7.2175266561020955E-3</v>
      </c>
      <c r="P45" s="7">
        <v>1.511524459835337E-2</v>
      </c>
      <c r="Q45" s="4">
        <v>2.9579860317087343</v>
      </c>
      <c r="R45" s="3">
        <v>9.0443714194400459E-3</v>
      </c>
      <c r="S45" s="33">
        <v>5.9264581238536021E-2</v>
      </c>
      <c r="T45" s="5">
        <v>51.9</v>
      </c>
      <c r="U45" s="34">
        <v>7.8288908333333337E-2</v>
      </c>
      <c r="V45">
        <v>4.3004408776112397</v>
      </c>
    </row>
    <row r="46" spans="1:22" s="2" customFormat="1" x14ac:dyDescent="0.2">
      <c r="A46" s="2" t="s">
        <v>64</v>
      </c>
      <c r="B46" s="5">
        <v>2018</v>
      </c>
      <c r="C46" s="4">
        <v>2.9113203564004184</v>
      </c>
      <c r="D46" s="4">
        <v>2.0511213904474072E-2</v>
      </c>
      <c r="E46" s="9">
        <v>1.2966899931344074E-2</v>
      </c>
      <c r="F46" s="4">
        <v>0.94289999999999996</v>
      </c>
      <c r="G46" s="4">
        <v>3915.79</v>
      </c>
      <c r="H46" s="7">
        <v>-4.463100675332794</v>
      </c>
      <c r="I46" s="4">
        <v>130378.98</v>
      </c>
      <c r="J46" s="4">
        <v>1.5138</v>
      </c>
      <c r="K46" s="4">
        <v>66.599400000000003</v>
      </c>
      <c r="L46" s="7">
        <v>1</v>
      </c>
      <c r="M46" s="4">
        <v>92.014499999999998</v>
      </c>
      <c r="N46" s="4">
        <v>11.238178992391646</v>
      </c>
      <c r="O46" s="4">
        <v>1.1859480212731949E-2</v>
      </c>
      <c r="P46" s="7">
        <v>2.0145710372021487E-2</v>
      </c>
      <c r="Q46" s="4">
        <v>2.8203654725555127</v>
      </c>
      <c r="R46" s="3">
        <v>8.5396811350810283E-3</v>
      </c>
      <c r="S46" s="33">
        <v>0.12434534107537239</v>
      </c>
      <c r="T46" s="5">
        <v>53.5</v>
      </c>
      <c r="U46" s="34">
        <v>6.7443749999999997E-2</v>
      </c>
      <c r="V46">
        <v>4.0351301370680597</v>
      </c>
    </row>
    <row r="47" spans="1:22" s="2" customFormat="1" x14ac:dyDescent="0.2">
      <c r="A47" s="2" t="s">
        <v>64</v>
      </c>
      <c r="B47" s="5">
        <v>2019</v>
      </c>
      <c r="C47" s="4">
        <v>2.9447802189792207</v>
      </c>
      <c r="D47" s="4">
        <v>101.43236926791927</v>
      </c>
      <c r="E47" s="9">
        <v>-1.0162721006096269</v>
      </c>
      <c r="F47" s="4">
        <v>0.91859999999999997</v>
      </c>
      <c r="G47" s="4">
        <v>4599.29</v>
      </c>
      <c r="H47" s="7">
        <v>17.454970772181348</v>
      </c>
      <c r="I47" s="4">
        <v>137912.66671599998</v>
      </c>
      <c r="J47" s="4">
        <v>1.1942999999999999</v>
      </c>
      <c r="K47" s="4">
        <v>65.321899999999999</v>
      </c>
      <c r="L47" s="7">
        <v>0</v>
      </c>
      <c r="M47" s="4">
        <v>57.776699999999998</v>
      </c>
      <c r="N47" s="4">
        <v>11.132268991989854</v>
      </c>
      <c r="O47" s="4">
        <v>1.2489237279908439E-2</v>
      </c>
      <c r="P47" s="7">
        <v>1.6306400663189394E-2</v>
      </c>
      <c r="Q47" s="4">
        <v>2.46932089980527</v>
      </c>
      <c r="R47" s="3">
        <v>8.9961856712901141E-3</v>
      </c>
      <c r="S47" s="33">
        <v>1.7806883043984915E-2</v>
      </c>
      <c r="T47" s="5">
        <v>51.6</v>
      </c>
      <c r="U47" s="34">
        <v>3.4638733333333338E-2</v>
      </c>
      <c r="V47">
        <v>4.1424697356973104</v>
      </c>
    </row>
    <row r="48" spans="1:22" s="2" customFormat="1" x14ac:dyDescent="0.2">
      <c r="A48" s="2" t="s">
        <v>64</v>
      </c>
      <c r="B48" s="5">
        <v>2020</v>
      </c>
      <c r="C48" s="4">
        <v>1.7110973217392278</v>
      </c>
      <c r="D48" s="4">
        <v>1.3830444231805803</v>
      </c>
      <c r="E48" s="9">
        <v>4.3373226451036209E-3</v>
      </c>
      <c r="F48" s="4">
        <v>0.91749999999999998</v>
      </c>
      <c r="G48" s="4">
        <v>6204.85</v>
      </c>
      <c r="H48" s="7">
        <v>34.908866368504718</v>
      </c>
      <c r="I48" s="4">
        <v>0</v>
      </c>
      <c r="J48" s="4">
        <v>1.2927</v>
      </c>
      <c r="K48" s="4">
        <v>61.911799999999999</v>
      </c>
      <c r="L48" s="7">
        <v>0</v>
      </c>
      <c r="M48" s="4">
        <v>74.362399999999994</v>
      </c>
      <c r="N48" s="4">
        <v>11.149607418692742</v>
      </c>
      <c r="O48" s="4">
        <v>1.6851788599551939E-2</v>
      </c>
      <c r="P48" s="7">
        <v>1.9335162626190516E-2</v>
      </c>
      <c r="Q48" s="4">
        <v>3.4559936666154476</v>
      </c>
      <c r="R48" s="3">
        <v>9.2755781465753383E-3</v>
      </c>
      <c r="S48" s="33">
        <v>-7.6232140578039884E-2</v>
      </c>
      <c r="T48" s="5">
        <v>52.4</v>
      </c>
      <c r="U48" s="34">
        <v>0.14886964166666666</v>
      </c>
      <c r="V48">
        <v>4.2034819485188404</v>
      </c>
    </row>
    <row r="49" spans="1:23" s="2" customFormat="1" x14ac:dyDescent="0.2">
      <c r="A49" s="2" t="s">
        <v>64</v>
      </c>
      <c r="B49" s="5">
        <v>2021</v>
      </c>
      <c r="C49" s="4">
        <v>3.0365908096254346</v>
      </c>
      <c r="D49" s="4">
        <v>0.47131137606760987</v>
      </c>
      <c r="E49" s="9">
        <v>7.9583752257411187E-3</v>
      </c>
      <c r="F49" s="4">
        <v>0.92079999999999995</v>
      </c>
      <c r="G49" s="4">
        <v>7976.95</v>
      </c>
      <c r="H49" s="7">
        <v>28.559916839246707</v>
      </c>
      <c r="I49" s="4">
        <v>130592.2361315</v>
      </c>
      <c r="J49" s="4">
        <v>1.3985000000000001</v>
      </c>
      <c r="K49" s="4">
        <v>63.101100000000002</v>
      </c>
      <c r="L49" s="7">
        <v>0</v>
      </c>
      <c r="M49" s="4">
        <v>69.211200000000005</v>
      </c>
      <c r="N49" s="4">
        <v>11.269949864677026</v>
      </c>
      <c r="O49" s="4">
        <v>1.7295177074504439E-2</v>
      </c>
      <c r="P49" s="7">
        <v>2.2654866534492026E-2</v>
      </c>
      <c r="Q49" s="4">
        <v>1.7289576924791583</v>
      </c>
      <c r="R49" s="3">
        <v>8.7450761308775337E-3</v>
      </c>
      <c r="S49" s="33">
        <v>0.10565502625103547</v>
      </c>
      <c r="T49" s="5">
        <v>52.8</v>
      </c>
      <c r="U49" s="34">
        <v>0.22783804166666666</v>
      </c>
      <c r="V49">
        <v>4.1432975981772104</v>
      </c>
      <c r="W49" s="34"/>
    </row>
    <row r="50" spans="1:23" s="2" customFormat="1" x14ac:dyDescent="0.2">
      <c r="A50" s="2" t="s">
        <v>64</v>
      </c>
      <c r="B50" s="5">
        <v>2022</v>
      </c>
      <c r="C50" s="4">
        <v>5.4890149498627485</v>
      </c>
      <c r="D50" s="4">
        <v>-24.854534928147704</v>
      </c>
      <c r="E50" s="9">
        <v>0.27032829883581772</v>
      </c>
      <c r="F50" s="4">
        <v>0.93330000000000002</v>
      </c>
      <c r="G50" s="4">
        <v>8638.39</v>
      </c>
      <c r="H50" s="7">
        <v>8.2918910109753678</v>
      </c>
      <c r="I50" s="4">
        <v>117121.0917492</v>
      </c>
      <c r="J50" s="4">
        <v>1.3695999999999999</v>
      </c>
      <c r="K50" s="4">
        <v>68.547499999999999</v>
      </c>
      <c r="L50" s="7">
        <v>0</v>
      </c>
      <c r="M50" s="4">
        <v>111.30670000000001</v>
      </c>
      <c r="N50" s="4">
        <v>11.408907125967982</v>
      </c>
      <c r="O50" s="4">
        <v>2.3774138129966732E-2</v>
      </c>
      <c r="P50" s="7">
        <v>1.2260200264140797E-2</v>
      </c>
      <c r="Q50" s="4">
        <v>5.2299098989407033</v>
      </c>
      <c r="R50" s="3">
        <v>9.1302188783613739E-3</v>
      </c>
      <c r="S50" s="33">
        <v>8.9347299498855171E-2</v>
      </c>
      <c r="T50" s="5">
        <v>53</v>
      </c>
      <c r="U50" s="34">
        <v>0.18707895833333332</v>
      </c>
      <c r="V50">
        <v>4.4010763454007202</v>
      </c>
      <c r="W50" s="34"/>
    </row>
    <row r="51" spans="1:23" s="2" customFormat="1" x14ac:dyDescent="0.2">
      <c r="B51" s="5"/>
      <c r="C51" s="4"/>
      <c r="D51" s="4"/>
      <c r="E51" s="9"/>
      <c r="F51" s="4"/>
      <c r="G51" s="4"/>
      <c r="H51" s="7"/>
      <c r="I51" s="4"/>
      <c r="J51" s="4"/>
      <c r="K51" s="4"/>
      <c r="L51" s="7"/>
      <c r="M51" s="4"/>
      <c r="N51" s="4"/>
      <c r="O51" s="4"/>
      <c r="P51" s="7"/>
      <c r="Q51" s="4"/>
      <c r="R51" s="3"/>
      <c r="S51" s="33"/>
      <c r="T51" s="5"/>
      <c r="U51" s="34"/>
      <c r="V51"/>
      <c r="W51" s="34"/>
    </row>
    <row r="52" spans="1:23" s="2" customFormat="1" x14ac:dyDescent="0.2">
      <c r="A52" s="2" t="s">
        <v>65</v>
      </c>
      <c r="B52" s="5">
        <v>2014</v>
      </c>
      <c r="C52" s="4">
        <v>5.944794222940792</v>
      </c>
      <c r="D52" s="4">
        <v>4.8232585234916536</v>
      </c>
      <c r="E52" s="9">
        <v>-3.5537473295871334E-2</v>
      </c>
      <c r="F52" s="4">
        <v>1.1247</v>
      </c>
      <c r="G52" s="4">
        <v>895.4</v>
      </c>
      <c r="H52" s="7">
        <v>4.7717114038988058</v>
      </c>
      <c r="I52" s="4">
        <v>34452.570795799998</v>
      </c>
      <c r="J52" s="4">
        <v>2.0099999999999998</v>
      </c>
      <c r="K52" s="4">
        <v>52.1312</v>
      </c>
      <c r="L52" s="7">
        <v>0</v>
      </c>
      <c r="M52" s="4">
        <v>11.462999999999999</v>
      </c>
      <c r="N52" s="4">
        <v>10.732490840226703</v>
      </c>
      <c r="O52" s="4">
        <v>0.01</v>
      </c>
      <c r="P52" s="7">
        <v>7.7039446946686641E-4</v>
      </c>
      <c r="Q52" s="4">
        <v>1.2111345270230851</v>
      </c>
      <c r="R52" s="3">
        <v>1.4152330326085276E-2</v>
      </c>
      <c r="S52" s="33">
        <v>4.5749844464168611E-2</v>
      </c>
      <c r="T52" s="5">
        <v>47.6</v>
      </c>
      <c r="U52" s="34">
        <v>3.642151666666666E-2</v>
      </c>
      <c r="V52">
        <v>3.2728597464304698</v>
      </c>
      <c r="W52" s="34"/>
    </row>
    <row r="53" spans="1:23" s="2" customFormat="1" x14ac:dyDescent="0.2">
      <c r="A53" s="2" t="s">
        <v>65</v>
      </c>
      <c r="B53" s="5">
        <v>2015</v>
      </c>
      <c r="C53" s="4">
        <v>5.5063746304600008</v>
      </c>
      <c r="D53" s="4">
        <v>2.5222736720195424</v>
      </c>
      <c r="E53" s="9">
        <v>-1.0460282014612535E-2</v>
      </c>
      <c r="F53" s="4">
        <v>1.1009</v>
      </c>
      <c r="G53" s="4">
        <v>741.35</v>
      </c>
      <c r="H53" s="7">
        <v>-17.204601295510383</v>
      </c>
      <c r="I53" s="4">
        <v>38128.961497799995</v>
      </c>
      <c r="J53" s="4">
        <v>1.97</v>
      </c>
      <c r="K53" s="4">
        <v>52.246499999999997</v>
      </c>
      <c r="L53" s="7">
        <v>0</v>
      </c>
      <c r="M53" s="4">
        <v>20.507000000000001</v>
      </c>
      <c r="N53" s="4">
        <v>10.81504146336624</v>
      </c>
      <c r="O53" s="4">
        <v>0.02</v>
      </c>
      <c r="P53" s="7">
        <v>1.0027385614005257E-3</v>
      </c>
      <c r="Q53" s="4">
        <v>1.4726831642073022</v>
      </c>
      <c r="R53" s="3">
        <v>8.0264375767751771E-3</v>
      </c>
      <c r="S53" s="33">
        <v>-0.10859218146637346</v>
      </c>
      <c r="T53" s="5">
        <v>49.2</v>
      </c>
      <c r="U53" s="34">
        <v>0.13826017499999999</v>
      </c>
      <c r="V53">
        <v>3.9055002630276801</v>
      </c>
      <c r="W53" s="34"/>
    </row>
    <row r="54" spans="1:23" s="2" customFormat="1" x14ac:dyDescent="0.2">
      <c r="A54" s="2" t="s">
        <v>65</v>
      </c>
      <c r="B54" s="5">
        <v>2016</v>
      </c>
      <c r="C54" s="4">
        <v>5.2337263492494053</v>
      </c>
      <c r="D54" s="4">
        <v>17.651966496352337</v>
      </c>
      <c r="E54" s="9">
        <v>-0.16217159695376457</v>
      </c>
      <c r="F54" s="4">
        <v>1.1034999999999999</v>
      </c>
      <c r="G54" s="4">
        <v>881.65</v>
      </c>
      <c r="H54" s="7">
        <v>18.924934241586289</v>
      </c>
      <c r="I54" s="4">
        <v>38945.849551500003</v>
      </c>
      <c r="J54" s="4">
        <v>1.89</v>
      </c>
      <c r="K54" s="4">
        <v>51.598300000000002</v>
      </c>
      <c r="L54" s="7">
        <v>0</v>
      </c>
      <c r="M54" s="4">
        <v>17.801300000000001</v>
      </c>
      <c r="N54" s="4">
        <v>10.927316972128045</v>
      </c>
      <c r="O54" s="4">
        <v>0.01</v>
      </c>
      <c r="P54" s="7">
        <v>8.2260626919014243E-4</v>
      </c>
      <c r="Q54" s="4">
        <v>1.4076449214807134</v>
      </c>
      <c r="R54" s="3">
        <v>8.6791672633876205E-3</v>
      </c>
      <c r="S54" s="33">
        <v>-3.3001487623251439E-4</v>
      </c>
      <c r="T54" s="5">
        <v>51.5</v>
      </c>
      <c r="U54" s="34">
        <v>8.0427099999999987E-2</v>
      </c>
      <c r="V54">
        <v>4.14830066287879</v>
      </c>
      <c r="W54" s="34"/>
    </row>
    <row r="55" spans="1:23" s="2" customFormat="1" x14ac:dyDescent="0.2">
      <c r="A55" s="2" t="s">
        <v>65</v>
      </c>
      <c r="B55" s="5">
        <v>2017</v>
      </c>
      <c r="C55" s="4">
        <v>5.225658989993148</v>
      </c>
      <c r="D55" s="4">
        <v>-0.46023677712525446</v>
      </c>
      <c r="E55" s="9">
        <v>1.5231446344833697E-2</v>
      </c>
      <c r="F55" s="4">
        <v>1.1020000000000001</v>
      </c>
      <c r="G55" s="4">
        <v>942.16</v>
      </c>
      <c r="H55" s="7">
        <v>6.8632677366301813</v>
      </c>
      <c r="I55" s="4">
        <v>39825.287785799999</v>
      </c>
      <c r="J55" s="4">
        <v>2.06</v>
      </c>
      <c r="K55" s="4">
        <v>54.989100000000001</v>
      </c>
      <c r="L55" s="7">
        <v>0</v>
      </c>
      <c r="M55" s="4">
        <v>28.7667</v>
      </c>
      <c r="N55" s="4">
        <v>10.963755919556919</v>
      </c>
      <c r="O55" s="4">
        <v>1.3412286426142792E-2</v>
      </c>
      <c r="P55" s="7">
        <v>1.0286976511091907E-3</v>
      </c>
      <c r="Q55" s="4">
        <v>1.3645541715273972</v>
      </c>
      <c r="R55" s="3">
        <v>9.2408026847213658E-3</v>
      </c>
      <c r="S55" s="33">
        <v>5.9264581238536021E-2</v>
      </c>
      <c r="T55" s="5">
        <v>51.9</v>
      </c>
      <c r="U55" s="34">
        <v>7.8288908333333337E-2</v>
      </c>
      <c r="V55">
        <v>4.3004408776112397</v>
      </c>
      <c r="W55" s="34"/>
    </row>
    <row r="56" spans="1:23" s="2" customFormat="1" x14ac:dyDescent="0.2">
      <c r="A56" s="2" t="s">
        <v>65</v>
      </c>
      <c r="B56" s="5">
        <v>2018</v>
      </c>
      <c r="C56" s="4">
        <v>5.1024151355452929</v>
      </c>
      <c r="D56" s="4">
        <v>1.5204195401868874</v>
      </c>
      <c r="E56" s="9">
        <v>-2.8915858252043014E-4</v>
      </c>
      <c r="F56" s="4">
        <v>1.0571999999999999</v>
      </c>
      <c r="G56" s="4">
        <v>834.38</v>
      </c>
      <c r="H56" s="7">
        <v>-11.439670544281224</v>
      </c>
      <c r="I56" s="4">
        <v>42595.983924599997</v>
      </c>
      <c r="J56" s="4">
        <v>2.2336</v>
      </c>
      <c r="K56" s="4">
        <v>51.4315</v>
      </c>
      <c r="L56" s="7">
        <v>0</v>
      </c>
      <c r="M56" s="4">
        <v>25.5808</v>
      </c>
      <c r="N56" s="4">
        <v>11.065680606965518</v>
      </c>
      <c r="O56" s="4">
        <v>1.6993726219397581E-2</v>
      </c>
      <c r="P56" s="7">
        <v>3.3469540286323781E-4</v>
      </c>
      <c r="Q56" s="4">
        <v>1.4871062287117534</v>
      </c>
      <c r="R56" s="3">
        <v>8.4381101757126358E-3</v>
      </c>
      <c r="S56" s="33">
        <v>0.12434534107537239</v>
      </c>
      <c r="T56" s="5">
        <v>53.5</v>
      </c>
      <c r="U56" s="34">
        <v>6.7443749999999997E-2</v>
      </c>
      <c r="V56">
        <v>4.0351301370680597</v>
      </c>
      <c r="W56" s="34"/>
    </row>
    <row r="57" spans="1:23" s="2" customFormat="1" x14ac:dyDescent="0.2">
      <c r="A57" s="2" t="s">
        <v>65</v>
      </c>
      <c r="B57" s="5">
        <v>2019</v>
      </c>
      <c r="C57" s="4">
        <v>5.0070697104483024</v>
      </c>
      <c r="D57" s="4">
        <v>-381.94211133917696</v>
      </c>
      <c r="E57" s="9">
        <v>3.8686178459203031</v>
      </c>
      <c r="F57" s="4">
        <v>1.0788</v>
      </c>
      <c r="G57" s="4">
        <v>1565.44</v>
      </c>
      <c r="H57" s="7">
        <v>87.617152856012865</v>
      </c>
      <c r="I57" s="4">
        <v>43300.589561199995</v>
      </c>
      <c r="J57" s="4">
        <v>2.0299999999999998</v>
      </c>
      <c r="K57" s="4">
        <v>51.3172</v>
      </c>
      <c r="L57" s="7">
        <v>0</v>
      </c>
      <c r="M57" s="4">
        <v>55.727499999999999</v>
      </c>
      <c r="N57" s="4">
        <v>11.121271571437068</v>
      </c>
      <c r="O57" s="4">
        <v>1.4961919875348761E-2</v>
      </c>
      <c r="P57" s="7">
        <v>1.4912609886924249E-3</v>
      </c>
      <c r="Q57" s="4">
        <v>1.477598608635905</v>
      </c>
      <c r="R57" s="3">
        <v>1.0593821107569904E-2</v>
      </c>
      <c r="S57" s="33">
        <v>1.7806883043984915E-2</v>
      </c>
      <c r="T57" s="5">
        <v>51.6</v>
      </c>
      <c r="U57" s="34">
        <v>3.4638733333333338E-2</v>
      </c>
      <c r="V57">
        <v>4.1424697356973104</v>
      </c>
      <c r="W57" s="34"/>
    </row>
    <row r="58" spans="1:23" s="2" customFormat="1" x14ac:dyDescent="0.2">
      <c r="A58" s="2" t="s">
        <v>65</v>
      </c>
      <c r="B58" s="5">
        <v>2020</v>
      </c>
      <c r="C58" s="4">
        <v>4.2348114440202744</v>
      </c>
      <c r="D58" s="4">
        <v>-3.117898850396517</v>
      </c>
      <c r="E58" s="9">
        <v>5.3683186960567536E-2</v>
      </c>
      <c r="F58" s="4">
        <v>1.0642</v>
      </c>
      <c r="G58" s="4">
        <v>2131.36</v>
      </c>
      <c r="H58" s="7">
        <v>36.150858544562553</v>
      </c>
      <c r="I58" s="4">
        <v>37325.974702200001</v>
      </c>
      <c r="J58" s="4">
        <v>2.16</v>
      </c>
      <c r="K58" s="4">
        <v>51.348700000000001</v>
      </c>
      <c r="L58" s="7">
        <v>1</v>
      </c>
      <c r="M58" s="4">
        <v>56.5792</v>
      </c>
      <c r="N58" s="4">
        <v>11.220391936547351</v>
      </c>
      <c r="O58" s="4">
        <v>1.6690367504963617E-2</v>
      </c>
      <c r="P58" s="7">
        <v>1.7255511614597915E-2</v>
      </c>
      <c r="Q58" s="4">
        <v>1.2279060745103827</v>
      </c>
      <c r="R58" s="3">
        <v>1.0885197849728539E-2</v>
      </c>
      <c r="S58" s="33">
        <v>-7.6232140578039884E-2</v>
      </c>
      <c r="T58" s="5">
        <v>52.4</v>
      </c>
      <c r="U58" s="34">
        <v>0.14886964166666666</v>
      </c>
      <c r="V58">
        <v>4.2034819485188404</v>
      </c>
    </row>
    <row r="59" spans="1:23" s="2" customFormat="1" x14ac:dyDescent="0.2">
      <c r="A59" s="2" t="s">
        <v>65</v>
      </c>
      <c r="B59" s="5">
        <v>2021</v>
      </c>
      <c r="C59" s="4">
        <v>3.7119838158876628</v>
      </c>
      <c r="D59" s="4">
        <v>0.45917775454191789</v>
      </c>
      <c r="E59" s="9">
        <v>9.8516238588058826E-3</v>
      </c>
      <c r="F59" s="4">
        <v>1.0175000000000001</v>
      </c>
      <c r="G59" s="4">
        <v>1815.85</v>
      </c>
      <c r="H59" s="7">
        <v>-14.803224232414994</v>
      </c>
      <c r="I59" s="4">
        <v>56838.771347400005</v>
      </c>
      <c r="J59" s="4">
        <v>2.5</v>
      </c>
      <c r="K59" s="4">
        <v>55.008099999999999</v>
      </c>
      <c r="L59" s="7">
        <v>1</v>
      </c>
      <c r="M59" s="4">
        <v>36.537999999999997</v>
      </c>
      <c r="N59" s="4">
        <v>11.291732684664373</v>
      </c>
      <c r="O59" s="4">
        <v>1.7967016131231629E-2</v>
      </c>
      <c r="P59" s="7">
        <v>1.5543398793760394E-2</v>
      </c>
      <c r="Q59" s="4">
        <v>1.030952968613841</v>
      </c>
      <c r="R59" s="3">
        <v>8.7352463453695562E-3</v>
      </c>
      <c r="S59" s="33">
        <v>0.10565502625103547</v>
      </c>
      <c r="T59" s="5">
        <v>52.8</v>
      </c>
      <c r="U59" s="34">
        <v>0.22783804166666666</v>
      </c>
      <c r="V59">
        <v>4.1432975981772104</v>
      </c>
      <c r="W59" s="34"/>
    </row>
    <row r="60" spans="1:23" s="2" customFormat="1" x14ac:dyDescent="0.2">
      <c r="A60" s="2" t="s">
        <v>65</v>
      </c>
      <c r="B60" s="5">
        <v>2022</v>
      </c>
      <c r="C60" s="4">
        <v>3.1523745845995625</v>
      </c>
      <c r="D60" s="4">
        <v>3.3017443648394407</v>
      </c>
      <c r="E60" s="9">
        <v>-1.9593467034710391E-2</v>
      </c>
      <c r="F60" s="4">
        <v>0.99250000000000005</v>
      </c>
      <c r="G60" s="4">
        <v>1760.55</v>
      </c>
      <c r="H60" s="7">
        <v>-3.0454057328523807</v>
      </c>
      <c r="I60" s="4">
        <v>83526.113361600001</v>
      </c>
      <c r="J60" s="4">
        <v>2.4632999999999998</v>
      </c>
      <c r="K60" s="4">
        <v>56.965699999999998</v>
      </c>
      <c r="L60" s="7">
        <v>1</v>
      </c>
      <c r="M60" s="4">
        <v>37.375300000000003</v>
      </c>
      <c r="N60" s="4">
        <v>11.405915489701542</v>
      </c>
      <c r="O60" s="4">
        <v>1.576939211766511E-2</v>
      </c>
      <c r="P60" s="7">
        <v>1.8008568811146538E-2</v>
      </c>
      <c r="Q60" s="4">
        <v>1.2556153890288126</v>
      </c>
      <c r="R60" s="3">
        <v>8.7643181843892054E-3</v>
      </c>
      <c r="S60" s="33">
        <v>8.9347299498855171E-2</v>
      </c>
      <c r="T60" s="5">
        <v>53</v>
      </c>
      <c r="U60" s="34">
        <v>0.18707895833333332</v>
      </c>
      <c r="V60">
        <v>4.4010763454007202</v>
      </c>
      <c r="W60" s="34"/>
    </row>
    <row r="61" spans="1:23" s="2" customFormat="1" x14ac:dyDescent="0.2">
      <c r="B61" s="5"/>
      <c r="C61" s="4"/>
      <c r="D61" s="4"/>
      <c r="E61" s="9"/>
      <c r="F61" s="4"/>
      <c r="G61" s="4"/>
      <c r="H61" s="7"/>
      <c r="I61" s="4"/>
      <c r="J61" s="4"/>
      <c r="K61" s="4"/>
      <c r="L61" s="7"/>
      <c r="M61" s="4"/>
      <c r="N61" s="4"/>
      <c r="O61" s="4"/>
      <c r="P61" s="7"/>
      <c r="Q61" s="4"/>
      <c r="R61" s="3"/>
      <c r="S61" s="33"/>
      <c r="T61" s="5"/>
      <c r="U61" s="34"/>
      <c r="V61"/>
      <c r="W61" s="34"/>
    </row>
    <row r="62" spans="1:23" s="2" customFormat="1" x14ac:dyDescent="0.2">
      <c r="A62" s="2" t="s">
        <v>77</v>
      </c>
      <c r="B62" s="5">
        <v>2014</v>
      </c>
      <c r="C62" s="4">
        <v>7.2666222517525085</v>
      </c>
      <c r="D62" s="4">
        <v>-24.752402584392978</v>
      </c>
      <c r="E62" s="13">
        <v>0.26591865932971026</v>
      </c>
      <c r="F62" s="4">
        <v>0.99980000000000002</v>
      </c>
      <c r="G62" s="4">
        <v>1676756</v>
      </c>
      <c r="H62" s="7">
        <v>-18.214285365884589</v>
      </c>
      <c r="I62" s="4">
        <v>693025.74</v>
      </c>
      <c r="J62" s="4">
        <v>2.3574000000000002</v>
      </c>
      <c r="K62" s="4">
        <v>40.383600000000001</v>
      </c>
      <c r="L62" s="7">
        <v>1</v>
      </c>
      <c r="M62" s="4">
        <v>327.9606</v>
      </c>
      <c r="N62" s="4">
        <v>13.825262849406952</v>
      </c>
      <c r="O62" s="4">
        <v>2.2422477239164032E-2</v>
      </c>
      <c r="P62" s="7">
        <v>5.0093918310237094E-2</v>
      </c>
      <c r="Q62" s="4">
        <v>1.8120984949708649</v>
      </c>
      <c r="R62" s="3">
        <v>8.435455880846876E-3</v>
      </c>
      <c r="S62" s="33">
        <v>9.457781607341903E-2</v>
      </c>
      <c r="T62" s="5">
        <v>99.9</v>
      </c>
      <c r="U62" s="34">
        <v>0.12046267500000001</v>
      </c>
      <c r="V62">
        <v>6.1434340944886703</v>
      </c>
      <c r="W62" s="34"/>
    </row>
    <row r="63" spans="1:23" s="2" customFormat="1" x14ac:dyDescent="0.2">
      <c r="A63" s="2" t="s">
        <v>77</v>
      </c>
      <c r="B63" s="5">
        <v>2015</v>
      </c>
      <c r="C63" s="4">
        <v>6.7240355048179294</v>
      </c>
      <c r="D63" s="4">
        <v>6.7293619028211893</v>
      </c>
      <c r="E63" s="13">
        <v>-4.7791319612941363E-2</v>
      </c>
      <c r="F63" s="4">
        <v>0.98499999999999999</v>
      </c>
      <c r="G63" s="4">
        <v>2114039</v>
      </c>
      <c r="H63" s="7">
        <v>26.079107514748717</v>
      </c>
      <c r="I63" s="4">
        <v>866327.95</v>
      </c>
      <c r="J63" s="4">
        <v>2.2162000000000002</v>
      </c>
      <c r="K63" s="4">
        <v>41.501399999999997</v>
      </c>
      <c r="L63" s="7">
        <v>1</v>
      </c>
      <c r="M63" s="4">
        <v>339.85950000000003</v>
      </c>
      <c r="N63" s="4">
        <v>13.913453632294239</v>
      </c>
      <c r="O63" s="4">
        <v>2.3492170664928144E-2</v>
      </c>
      <c r="P63" s="7">
        <v>4.6235429826417221E-2</v>
      </c>
      <c r="Q63" s="4">
        <v>1.8729519591063022</v>
      </c>
      <c r="R63" s="3">
        <v>8.1375086987164145E-3</v>
      </c>
      <c r="S63" s="33">
        <v>5.5934460075526035E-2</v>
      </c>
      <c r="T63" s="5">
        <v>40.6</v>
      </c>
      <c r="U63" s="34">
        <v>0.11306368333333332</v>
      </c>
      <c r="V63">
        <v>6.22748867298455</v>
      </c>
      <c r="W63" s="34"/>
    </row>
    <row r="64" spans="1:23" s="2" customFormat="1" x14ac:dyDescent="0.2">
      <c r="A64" s="2" t="s">
        <v>77</v>
      </c>
      <c r="B64" s="5">
        <v>2016</v>
      </c>
      <c r="C64" s="4">
        <v>5.9223298083885041</v>
      </c>
      <c r="D64" s="4">
        <v>3.631464302193713</v>
      </c>
      <c r="E64" s="13">
        <v>-2.0534558106044761E-2</v>
      </c>
      <c r="F64" s="4">
        <v>0.98009999999999997</v>
      </c>
      <c r="G64" s="4">
        <v>2806600</v>
      </c>
      <c r="H64" s="7">
        <v>32.760086261417129</v>
      </c>
      <c r="I64" s="4">
        <v>899214.34000000008</v>
      </c>
      <c r="J64" s="4">
        <v>1.881</v>
      </c>
      <c r="K64" s="4">
        <v>40.972099999999998</v>
      </c>
      <c r="L64" s="7">
        <v>1</v>
      </c>
      <c r="M64" s="4">
        <v>394.54509999999999</v>
      </c>
      <c r="N64" s="4">
        <v>14.006874442742458</v>
      </c>
      <c r="O64" s="4">
        <v>2.288909061026367E-2</v>
      </c>
      <c r="P64" s="7">
        <v>3.7595676204927542E-2</v>
      </c>
      <c r="Q64" s="4">
        <v>1.8017183289151051</v>
      </c>
      <c r="R64" s="3">
        <v>8.128521082987351E-3</v>
      </c>
      <c r="S64" s="33">
        <v>1.5525894567969992E-2</v>
      </c>
      <c r="T64" s="5">
        <v>40.6</v>
      </c>
      <c r="U64" s="34">
        <v>0.10788815833333336</v>
      </c>
      <c r="V64">
        <v>6.6444778294468003</v>
      </c>
      <c r="W64" s="34"/>
    </row>
    <row r="65" spans="1:23" s="2" customFormat="1" x14ac:dyDescent="0.2">
      <c r="A65" s="2" t="s">
        <v>77</v>
      </c>
      <c r="B65" s="5">
        <v>2017</v>
      </c>
      <c r="C65" s="4">
        <v>5.5488294062008165</v>
      </c>
      <c r="D65" s="4">
        <v>7.6187480473981616E-3</v>
      </c>
      <c r="E65" s="13">
        <v>9.8039391371061609E-3</v>
      </c>
      <c r="F65" s="4">
        <v>0.97809999999999997</v>
      </c>
      <c r="G65" s="4">
        <v>3194395</v>
      </c>
      <c r="H65" s="7">
        <v>13.817252191263451</v>
      </c>
      <c r="I65" s="4">
        <v>1028211.82</v>
      </c>
      <c r="J65" s="4">
        <v>1.5094000000000001</v>
      </c>
      <c r="K65" s="4">
        <v>42.373100000000001</v>
      </c>
      <c r="L65" s="7">
        <v>1</v>
      </c>
      <c r="M65" s="4">
        <v>396.98820000000001</v>
      </c>
      <c r="N65" s="4">
        <v>14.144166613385481</v>
      </c>
      <c r="O65" s="4">
        <v>2.2978904221314506E-2</v>
      </c>
      <c r="P65" s="7">
        <v>2.5314382628586998E-2</v>
      </c>
      <c r="Q65" s="4">
        <v>2.2773988585600327</v>
      </c>
      <c r="R65" s="3">
        <v>8.2239783180405104E-3</v>
      </c>
      <c r="S65" s="33">
        <v>9.5891306540979396E-2</v>
      </c>
      <c r="T65" s="5">
        <v>39.299999999999997</v>
      </c>
      <c r="U65" s="34">
        <v>0.10495592499999999</v>
      </c>
      <c r="V65">
        <v>6.7587550863359702</v>
      </c>
      <c r="W65" s="34"/>
    </row>
    <row r="66" spans="1:23" s="2" customFormat="1" x14ac:dyDescent="0.2">
      <c r="A66" s="2" t="s">
        <v>77</v>
      </c>
      <c r="B66" s="5">
        <v>2018</v>
      </c>
      <c r="C66" s="4">
        <v>5.4667410626237842</v>
      </c>
      <c r="D66" s="4">
        <v>-3.6532059994716939E-2</v>
      </c>
      <c r="E66" s="13">
        <v>1.4016833365283064E-2</v>
      </c>
      <c r="F66" s="4">
        <v>0.9748</v>
      </c>
      <c r="G66" s="4">
        <v>3372944</v>
      </c>
      <c r="H66" s="7">
        <v>5.5894465149112742</v>
      </c>
      <c r="I66" s="4">
        <v>1054164.48</v>
      </c>
      <c r="J66" s="4">
        <v>1.5059</v>
      </c>
      <c r="K66" s="4">
        <v>39.921700000000001</v>
      </c>
      <c r="L66" s="7">
        <v>1</v>
      </c>
      <c r="M66" s="4">
        <v>353.24</v>
      </c>
      <c r="N66" s="4">
        <v>14.141643816790308</v>
      </c>
      <c r="O66" s="4">
        <v>2.3043005040547685E-2</v>
      </c>
      <c r="P66" s="7">
        <v>2.5542204871367959E-2</v>
      </c>
      <c r="Q66" s="4">
        <v>2.5390959865302576</v>
      </c>
      <c r="R66" s="3">
        <v>7.8804016108390395E-3</v>
      </c>
      <c r="S66" s="33">
        <v>0.12870455661971003</v>
      </c>
      <c r="T66" s="5">
        <v>37.9</v>
      </c>
      <c r="U66" s="34">
        <v>0.14311219999999999</v>
      </c>
      <c r="V66">
        <v>6.6159571773543897</v>
      </c>
      <c r="W66" s="34"/>
    </row>
    <row r="67" spans="1:23" s="2" customFormat="1" x14ac:dyDescent="0.2">
      <c r="A67" s="2" t="s">
        <v>77</v>
      </c>
      <c r="B67" s="5">
        <v>2019</v>
      </c>
      <c r="C67" s="4">
        <v>5.5238242844469667</v>
      </c>
      <c r="D67" s="4">
        <v>-0.57301947922816243</v>
      </c>
      <c r="E67" s="13">
        <v>1.8471106826393489E-2</v>
      </c>
      <c r="F67" s="4">
        <v>0.9698</v>
      </c>
      <c r="G67" s="4">
        <v>6000585</v>
      </c>
      <c r="H67" s="7">
        <v>77.903487279954845</v>
      </c>
      <c r="I67" s="4">
        <v>1120787.75</v>
      </c>
      <c r="J67" s="4">
        <v>1.5832999999999999</v>
      </c>
      <c r="K67" s="4">
        <v>40.456699999999998</v>
      </c>
      <c r="L67" s="7">
        <v>1</v>
      </c>
      <c r="M67" s="4">
        <v>290.58049999999997</v>
      </c>
      <c r="N67" s="4">
        <v>14.167926444982623</v>
      </c>
      <c r="O67" s="4">
        <v>2.2740525343888915E-2</v>
      </c>
      <c r="P67" s="7">
        <v>1.6941902510958933E-2</v>
      </c>
      <c r="Q67" s="4">
        <v>2.5444831756619535</v>
      </c>
      <c r="R67" s="3">
        <v>8.0712769868486727E-3</v>
      </c>
      <c r="S67" s="33">
        <v>2.7712383170145276E-2</v>
      </c>
      <c r="T67" s="5">
        <v>37.700000000000003</v>
      </c>
      <c r="U67" s="34">
        <v>0.29669430000000002</v>
      </c>
      <c r="V67">
        <v>6.9083850099290096</v>
      </c>
      <c r="W67" s="34"/>
    </row>
    <row r="68" spans="1:23" s="2" customFormat="1" x14ac:dyDescent="0.2">
      <c r="A68" s="2" t="s">
        <v>77</v>
      </c>
      <c r="B68" s="5">
        <v>2020</v>
      </c>
      <c r="C68" s="4">
        <v>5.3086781472989379</v>
      </c>
      <c r="D68" s="4">
        <v>1.3356312161598844</v>
      </c>
      <c r="E68" s="13">
        <v>3.5013949736957973E-3</v>
      </c>
      <c r="F68" s="4">
        <v>0.95920000000000005</v>
      </c>
      <c r="G68" s="4">
        <v>5537241</v>
      </c>
      <c r="H68" s="7">
        <v>-7.7216471394039088</v>
      </c>
      <c r="I68" s="4">
        <v>1496807.37</v>
      </c>
      <c r="J68" s="4">
        <v>1.5654999999999999</v>
      </c>
      <c r="K68" s="4">
        <v>40.340499999999999</v>
      </c>
      <c r="L68" s="7">
        <v>1</v>
      </c>
      <c r="M68" s="4">
        <v>262.66879999999998</v>
      </c>
      <c r="N68" s="4">
        <v>14.309535843051918</v>
      </c>
      <c r="O68" s="4">
        <v>2.1861616023454978E-2</v>
      </c>
      <c r="P68" s="7">
        <v>2.869739414542137E-2</v>
      </c>
      <c r="Q68" s="4">
        <v>2.5029871435383941</v>
      </c>
      <c r="R68" s="3">
        <v>8.0762653841324021E-3</v>
      </c>
      <c r="S68" s="33">
        <v>2.8555740275520065E-2</v>
      </c>
      <c r="T68" s="5">
        <v>37.9</v>
      </c>
      <c r="U68" s="34">
        <v>0.27519169999999998</v>
      </c>
      <c r="V68">
        <v>6.9007672694492497</v>
      </c>
    </row>
    <row r="69" spans="1:23" s="2" customFormat="1" x14ac:dyDescent="0.2">
      <c r="A69" s="2" t="s">
        <v>77</v>
      </c>
      <c r="B69" s="5">
        <v>2021</v>
      </c>
      <c r="C69" s="4">
        <v>5.4671530324559106</v>
      </c>
      <c r="D69" s="4">
        <v>-3.3902958535475936</v>
      </c>
      <c r="E69" s="13">
        <v>4.7724743635056605E-2</v>
      </c>
      <c r="F69" s="4">
        <v>0.95930000000000004</v>
      </c>
      <c r="G69" s="4">
        <v>7127629</v>
      </c>
      <c r="H69" s="7">
        <v>28.721668426568392</v>
      </c>
      <c r="I69" s="4">
        <v>1522831.38</v>
      </c>
      <c r="J69" s="4">
        <v>1.5565</v>
      </c>
      <c r="K69" s="4">
        <v>39.7438</v>
      </c>
      <c r="L69" s="7">
        <v>1</v>
      </c>
      <c r="M69" s="4">
        <v>253.07910000000001</v>
      </c>
      <c r="N69" s="4">
        <v>14.42277299936705</v>
      </c>
      <c r="O69" s="4">
        <v>2.2590860478635792E-2</v>
      </c>
      <c r="P69" s="7">
        <v>1.66457297194312E-2</v>
      </c>
      <c r="Q69" s="4">
        <v>2.3051706808788617</v>
      </c>
      <c r="R69" s="3">
        <v>8.2705158009084238E-3</v>
      </c>
      <c r="S69" s="33">
        <v>0.21328775065622899</v>
      </c>
      <c r="T69" s="5">
        <v>38.5</v>
      </c>
      <c r="U69" s="34">
        <v>0.17849286666666667</v>
      </c>
      <c r="V69">
        <v>6.4489751802431599</v>
      </c>
      <c r="W69" s="34"/>
    </row>
    <row r="70" spans="1:23" s="2" customFormat="1" x14ac:dyDescent="0.2">
      <c r="A70" s="2" t="s">
        <v>77</v>
      </c>
      <c r="B70" s="5">
        <v>2022</v>
      </c>
      <c r="C70" s="4">
        <v>5.214221379379512</v>
      </c>
      <c r="D70" s="4">
        <v>19.957246652469991</v>
      </c>
      <c r="E70" s="13">
        <v>-0.18576697908246828</v>
      </c>
      <c r="F70" s="4">
        <v>0.95979999999999999</v>
      </c>
      <c r="G70" s="4">
        <v>6483671</v>
      </c>
      <c r="H70" s="7">
        <v>-9.0346733815691032</v>
      </c>
      <c r="I70" s="4">
        <v>1428218.8799999999</v>
      </c>
      <c r="J70" s="4">
        <v>1.4763999999999999</v>
      </c>
      <c r="K70" s="4">
        <v>42.872300000000003</v>
      </c>
      <c r="L70" s="7">
        <v>1</v>
      </c>
      <c r="M70" s="4">
        <v>248.9091</v>
      </c>
      <c r="N70" s="4">
        <v>14.448483015488149</v>
      </c>
      <c r="O70" s="4">
        <v>2.2752331202774714E-2</v>
      </c>
      <c r="P70" s="7">
        <v>1.9147411744425153E-2</v>
      </c>
      <c r="Q70" s="4">
        <v>2.540926545917559</v>
      </c>
      <c r="R70" s="3">
        <v>8.1529904704149628E-3</v>
      </c>
      <c r="S70" s="33">
        <v>8.0082772214906672E-3</v>
      </c>
      <c r="T70" s="5">
        <v>38.299999999999997</v>
      </c>
      <c r="U70" s="34">
        <v>0.37974000833333332</v>
      </c>
      <c r="V70">
        <v>6.7371581123711897</v>
      </c>
      <c r="W70" s="34"/>
    </row>
    <row r="71" spans="1:23" s="2" customFormat="1" x14ac:dyDescent="0.2">
      <c r="B71" s="5"/>
      <c r="C71" s="4"/>
      <c r="D71" s="4"/>
      <c r="E71" s="13"/>
      <c r="F71" s="4"/>
      <c r="G71" s="4"/>
      <c r="H71" s="7"/>
      <c r="I71" s="4"/>
      <c r="J71" s="4"/>
      <c r="K71" s="4"/>
      <c r="L71" s="7"/>
      <c r="M71" s="4"/>
      <c r="N71" s="4"/>
      <c r="O71" s="4"/>
      <c r="P71" s="7"/>
      <c r="Q71" s="4"/>
      <c r="R71" s="3"/>
      <c r="S71" s="33"/>
      <c r="T71" s="5"/>
      <c r="U71" s="34"/>
      <c r="V71"/>
      <c r="W71" s="34"/>
    </row>
    <row r="72" spans="1:23" s="2" customFormat="1" x14ac:dyDescent="0.2">
      <c r="A72" s="2" t="s">
        <v>80</v>
      </c>
      <c r="B72" s="5">
        <v>2014</v>
      </c>
      <c r="C72" s="4">
        <v>10.995984996261015</v>
      </c>
      <c r="D72" s="4">
        <v>3.607272434574718</v>
      </c>
      <c r="E72" s="13">
        <v>-1.5487011107403017E-2</v>
      </c>
      <c r="F72" s="4">
        <v>1.0228999999999999</v>
      </c>
      <c r="G72" s="4">
        <v>389653</v>
      </c>
      <c r="H72" s="7">
        <v>-4.1597284567043404</v>
      </c>
      <c r="I72" s="4">
        <v>169178.11930464001</v>
      </c>
      <c r="J72" s="4">
        <v>2.5693000000000001</v>
      </c>
      <c r="K72" s="4">
        <v>44.081099999999999</v>
      </c>
      <c r="L72" s="7">
        <v>1</v>
      </c>
      <c r="M72" s="4">
        <v>355.92020000000002</v>
      </c>
      <c r="N72" s="4">
        <v>12.77205176957276</v>
      </c>
      <c r="O72" s="4">
        <v>2.0587781562375795E-2</v>
      </c>
      <c r="P72" s="7">
        <v>0.12086897079443706</v>
      </c>
      <c r="Q72" s="4">
        <v>2.5233045985290272</v>
      </c>
      <c r="R72" s="3">
        <v>6.6954987880990871E-3</v>
      </c>
      <c r="S72" s="33">
        <v>9.457781607341903E-2</v>
      </c>
      <c r="T72" s="5">
        <v>99.9</v>
      </c>
      <c r="U72" s="34">
        <v>0.12046267500000001</v>
      </c>
      <c r="V72">
        <v>6.1434340944886703</v>
      </c>
    </row>
    <row r="73" spans="1:23" s="2" customFormat="1" x14ac:dyDescent="0.2">
      <c r="A73" s="2" t="s">
        <v>80</v>
      </c>
      <c r="B73" s="5">
        <v>2015</v>
      </c>
      <c r="C73" s="4">
        <v>10.624026207809331</v>
      </c>
      <c r="D73" s="4">
        <v>-2.4481116829588614</v>
      </c>
      <c r="E73" s="13">
        <v>5.3995497965733052E-2</v>
      </c>
      <c r="F73" s="4">
        <v>1.004</v>
      </c>
      <c r="G73" s="4">
        <v>1037565</v>
      </c>
      <c r="H73" s="7">
        <v>166.2792279284389</v>
      </c>
      <c r="I73" s="4">
        <v>271989.43599599996</v>
      </c>
      <c r="J73" s="4">
        <v>2.7681</v>
      </c>
      <c r="K73" s="4">
        <v>38.618200000000002</v>
      </c>
      <c r="L73" s="7">
        <v>1</v>
      </c>
      <c r="M73" s="4">
        <v>340.7201</v>
      </c>
      <c r="N73" s="4">
        <v>12.864779560368563</v>
      </c>
      <c r="O73" s="4">
        <v>2.40647031690236E-2</v>
      </c>
      <c r="P73" s="7">
        <v>0.13310369382009204</v>
      </c>
      <c r="Q73" s="4">
        <v>2.272175818366291</v>
      </c>
      <c r="R73" s="3">
        <v>7.041371313196332E-3</v>
      </c>
      <c r="S73" s="33">
        <v>5.5934460075526035E-2</v>
      </c>
      <c r="T73" s="5">
        <v>40.6</v>
      </c>
      <c r="U73" s="34">
        <v>0.11306368333333332</v>
      </c>
      <c r="V73">
        <v>6.22748867298455</v>
      </c>
    </row>
    <row r="74" spans="1:23" s="2" customFormat="1" x14ac:dyDescent="0.2">
      <c r="A74" s="2" t="s">
        <v>80</v>
      </c>
      <c r="B74" s="5">
        <v>2016</v>
      </c>
      <c r="C74" s="4">
        <v>9.5578761896586997</v>
      </c>
      <c r="D74" s="4">
        <v>3.4927508001855921E-2</v>
      </c>
      <c r="E74" s="13">
        <v>1.182399274913192E-2</v>
      </c>
      <c r="F74" s="4">
        <v>0.99119999999999997</v>
      </c>
      <c r="G74" s="4">
        <v>951673</v>
      </c>
      <c r="H74" s="7">
        <v>-8.2782283519586723</v>
      </c>
      <c r="I74" s="4">
        <v>370344.28959715995</v>
      </c>
      <c r="J74" s="4">
        <v>2.754</v>
      </c>
      <c r="K74" s="4">
        <v>29.578700000000001</v>
      </c>
      <c r="L74" s="7">
        <v>1</v>
      </c>
      <c r="M74" s="4">
        <v>369.23149999999998</v>
      </c>
      <c r="N74" s="4">
        <v>12.961220573082411</v>
      </c>
      <c r="O74" s="4">
        <v>2.7057848459707656E-2</v>
      </c>
      <c r="P74" s="7">
        <v>0.12426459595434863</v>
      </c>
      <c r="Q74" s="4">
        <v>1.8284759332147742</v>
      </c>
      <c r="R74" s="3">
        <v>7.7071122575547834E-3</v>
      </c>
      <c r="S74" s="33">
        <v>1.5525894567969992E-2</v>
      </c>
      <c r="T74" s="5">
        <v>40.6</v>
      </c>
      <c r="U74" s="34">
        <v>0.10788815833333336</v>
      </c>
      <c r="V74">
        <v>6.6444778294468003</v>
      </c>
    </row>
    <row r="75" spans="1:23" s="2" customFormat="1" x14ac:dyDescent="0.2">
      <c r="A75" s="2" t="s">
        <v>80</v>
      </c>
      <c r="B75" s="5">
        <v>2017</v>
      </c>
      <c r="C75" s="4">
        <v>8.7046777603249357</v>
      </c>
      <c r="D75" s="4">
        <v>3.0443752504105732</v>
      </c>
      <c r="E75" s="13">
        <v>-1.4105052364544225E-2</v>
      </c>
      <c r="F75" s="4">
        <v>1.0081</v>
      </c>
      <c r="G75" s="4">
        <v>1590440</v>
      </c>
      <c r="H75" s="7">
        <v>67.120428970875494</v>
      </c>
      <c r="I75" s="4">
        <v>445631.10216235998</v>
      </c>
      <c r="J75" s="4">
        <v>2.3721000000000001</v>
      </c>
      <c r="K75" s="4">
        <v>31.684100000000001</v>
      </c>
      <c r="L75" s="7">
        <v>1</v>
      </c>
      <c r="M75" s="4">
        <v>422.6139</v>
      </c>
      <c r="N75" s="4">
        <v>13.120863490335882</v>
      </c>
      <c r="O75" s="4">
        <v>2.5706624219996962E-2</v>
      </c>
      <c r="P75" s="7">
        <v>9.4969987253597427E-2</v>
      </c>
      <c r="Q75" s="4">
        <v>2.4504185865011991</v>
      </c>
      <c r="R75" s="3">
        <v>8.5959675433815615E-3</v>
      </c>
      <c r="S75" s="33">
        <v>9.5891306540979396E-2</v>
      </c>
      <c r="T75" s="5">
        <v>39.299999999999997</v>
      </c>
      <c r="U75" s="34">
        <v>0.10495592499999999</v>
      </c>
      <c r="V75">
        <v>6.7587550863359702</v>
      </c>
    </row>
    <row r="76" spans="1:23" s="2" customFormat="1" x14ac:dyDescent="0.2">
      <c r="A76" s="2" t="s">
        <v>80</v>
      </c>
      <c r="B76" s="5">
        <v>2018</v>
      </c>
      <c r="C76" s="4">
        <v>8.6893218917300228</v>
      </c>
      <c r="D76" s="4">
        <v>2.2447100953381796</v>
      </c>
      <c r="E76" s="13">
        <v>-1.8469632038510487E-4</v>
      </c>
      <c r="F76" s="4">
        <v>0.98270000000000002</v>
      </c>
      <c r="G76" s="4">
        <v>2052213</v>
      </c>
      <c r="H76" s="7">
        <v>29.034292397072509</v>
      </c>
      <c r="I76" s="4">
        <v>507433.66020689992</v>
      </c>
      <c r="J76" s="4">
        <v>2.3458999999999999</v>
      </c>
      <c r="K76" s="4">
        <v>32.855400000000003</v>
      </c>
      <c r="L76" s="7">
        <v>1</v>
      </c>
      <c r="M76" s="4">
        <v>402.24090000000001</v>
      </c>
      <c r="N76" s="4">
        <v>13.116338723366965</v>
      </c>
      <c r="O76" s="4">
        <v>2.3915547491391548E-2</v>
      </c>
      <c r="P76" s="7">
        <v>9.008294749071967E-2</v>
      </c>
      <c r="Q76" s="4">
        <v>2.7284630682851083</v>
      </c>
      <c r="R76" s="3">
        <v>9.3971724934965844E-3</v>
      </c>
      <c r="S76" s="33">
        <v>0.12870455661971003</v>
      </c>
      <c r="T76" s="5">
        <v>37.9</v>
      </c>
      <c r="U76" s="34">
        <v>0.14311219999999999</v>
      </c>
      <c r="V76">
        <v>6.6159571773543897</v>
      </c>
    </row>
    <row r="77" spans="1:23" s="2" customFormat="1" x14ac:dyDescent="0.2">
      <c r="A77" s="2" t="s">
        <v>80</v>
      </c>
      <c r="B77" s="5">
        <v>2019</v>
      </c>
      <c r="C77" s="4">
        <v>9.0214380966454168</v>
      </c>
      <c r="D77" s="4">
        <v>1.5026152802931092</v>
      </c>
      <c r="E77" s="13">
        <v>5.888608728661213E-3</v>
      </c>
      <c r="F77" s="4">
        <v>1.0117</v>
      </c>
      <c r="G77" s="4">
        <v>2849906</v>
      </c>
      <c r="H77" s="7">
        <v>38.869893134874403</v>
      </c>
      <c r="I77" s="4">
        <v>549050.94376464002</v>
      </c>
      <c r="J77" s="4">
        <v>2.6198999999999999</v>
      </c>
      <c r="K77" s="4">
        <v>33.536900000000003</v>
      </c>
      <c r="L77" s="7">
        <v>1</v>
      </c>
      <c r="M77" s="4">
        <v>351.21559999999999</v>
      </c>
      <c r="N77" s="4">
        <v>13.24578735194013</v>
      </c>
      <c r="O77" s="4">
        <v>2.7486166639354999E-2</v>
      </c>
      <c r="P77" s="7">
        <v>7.7077646474952397E-2</v>
      </c>
      <c r="Q77" s="4">
        <v>2.4136239467855809</v>
      </c>
      <c r="R77" s="3">
        <v>9.5044470013087301E-3</v>
      </c>
      <c r="S77" s="33">
        <v>2.7712383170145276E-2</v>
      </c>
      <c r="T77" s="5">
        <v>37.700000000000003</v>
      </c>
      <c r="U77" s="34">
        <v>0.29669430000000002</v>
      </c>
      <c r="V77">
        <v>6.9083850099290096</v>
      </c>
    </row>
    <row r="78" spans="1:23" s="2" customFormat="1" x14ac:dyDescent="0.2">
      <c r="A78" s="2" t="s">
        <v>80</v>
      </c>
      <c r="B78" s="5">
        <v>2020</v>
      </c>
      <c r="C78" s="4">
        <v>8.2080063849209832</v>
      </c>
      <c r="D78" s="4">
        <v>-4.7113997909589944</v>
      </c>
      <c r="E78" s="13">
        <v>7.0469361636685657E-2</v>
      </c>
      <c r="F78" s="4">
        <v>1.0182</v>
      </c>
      <c r="G78" s="4">
        <v>5164295</v>
      </c>
      <c r="H78" s="7">
        <v>81.209310061454659</v>
      </c>
      <c r="I78" s="4">
        <v>480930.73371300002</v>
      </c>
      <c r="J78" s="4">
        <v>2.8767</v>
      </c>
      <c r="K78" s="4">
        <v>36.490400000000001</v>
      </c>
      <c r="L78" s="7">
        <v>1</v>
      </c>
      <c r="M78" s="4">
        <v>362.82929999999999</v>
      </c>
      <c r="N78" s="4">
        <v>13.436588411737777</v>
      </c>
      <c r="O78" s="4">
        <v>2.0798883166842232E-2</v>
      </c>
      <c r="P78" s="7">
        <v>9.5012765364088869E-2</v>
      </c>
      <c r="Q78" s="4">
        <v>2.3716979512998235</v>
      </c>
      <c r="R78" s="3">
        <v>9.9346065722976384E-3</v>
      </c>
      <c r="S78" s="33">
        <v>2.8555740275520065E-2</v>
      </c>
      <c r="T78" s="5">
        <v>37.9</v>
      </c>
      <c r="U78" s="34">
        <v>0.27519169999999998</v>
      </c>
      <c r="V78">
        <v>6.9007672694492497</v>
      </c>
    </row>
    <row r="79" spans="1:23" s="2" customFormat="1" x14ac:dyDescent="0.2">
      <c r="A79" s="2" t="s">
        <v>80</v>
      </c>
      <c r="B79" s="5">
        <v>2021</v>
      </c>
      <c r="C79" s="4">
        <v>9.110995982719599</v>
      </c>
      <c r="D79" s="4">
        <v>1.1713690196966731</v>
      </c>
      <c r="E79" s="13">
        <v>1.3231477442145066E-2</v>
      </c>
      <c r="F79" s="4">
        <v>0.99880000000000002</v>
      </c>
      <c r="G79" s="4">
        <v>4623550</v>
      </c>
      <c r="H79" s="7">
        <v>-10.470838710801765</v>
      </c>
      <c r="I79" s="4">
        <v>492052.82956804993</v>
      </c>
      <c r="J79" s="4">
        <v>2.7888000000000002</v>
      </c>
      <c r="K79" s="4">
        <v>33.717399999999998</v>
      </c>
      <c r="L79" s="7">
        <v>1</v>
      </c>
      <c r="M79" s="4">
        <v>366.09440000000001</v>
      </c>
      <c r="N79" s="4">
        <v>13.559684555233391</v>
      </c>
      <c r="O79" s="4">
        <v>2.5688374653640329E-2</v>
      </c>
      <c r="P79" s="7">
        <v>8.1862770341915303E-2</v>
      </c>
      <c r="Q79" s="4">
        <v>2.026747851824068</v>
      </c>
      <c r="R79" s="3">
        <v>1.0243877890961799E-2</v>
      </c>
      <c r="S79" s="33">
        <v>0.21328775065622899</v>
      </c>
      <c r="T79" s="5">
        <v>38.5</v>
      </c>
      <c r="U79" s="34">
        <v>0.17849286666666667</v>
      </c>
      <c r="V79">
        <v>6.4489751802431599</v>
      </c>
    </row>
    <row r="80" spans="1:23" s="2" customFormat="1" x14ac:dyDescent="0.2">
      <c r="A80" s="2" t="s">
        <v>80</v>
      </c>
      <c r="B80" s="5">
        <v>2022</v>
      </c>
      <c r="C80" s="4">
        <v>10.349579830690397</v>
      </c>
      <c r="D80" s="4">
        <v>0.37065997032050024</v>
      </c>
      <c r="E80" s="13">
        <v>1.892783673459562E-2</v>
      </c>
      <c r="F80" s="4">
        <v>0.97950000000000004</v>
      </c>
      <c r="G80" s="4">
        <v>4917019</v>
      </c>
      <c r="H80" s="7">
        <v>6.3472656292242968</v>
      </c>
      <c r="I80" s="4">
        <v>505337.86872770003</v>
      </c>
      <c r="J80" s="4">
        <v>2.746</v>
      </c>
      <c r="K80" s="4">
        <v>33.356200000000001</v>
      </c>
      <c r="L80" s="7">
        <v>1</v>
      </c>
      <c r="M80" s="4">
        <v>329.8587</v>
      </c>
      <c r="N80" s="4">
        <v>13.555949914775191</v>
      </c>
      <c r="O80" s="4">
        <v>2.9412515710402789E-2</v>
      </c>
      <c r="P80" s="7">
        <v>8.3209616301441816E-2</v>
      </c>
      <c r="Q80" s="4">
        <v>1.7181035132922422</v>
      </c>
      <c r="R80" s="3">
        <v>9.9310751138384206E-3</v>
      </c>
      <c r="S80" s="33">
        <v>8.0082772214906672E-3</v>
      </c>
      <c r="T80" s="5">
        <v>38.299999999999997</v>
      </c>
      <c r="U80" s="34">
        <v>0.37974000833333332</v>
      </c>
      <c r="V80">
        <v>6.7371581123711897</v>
      </c>
    </row>
    <row r="81" spans="1:22" s="2" customFormat="1" x14ac:dyDescent="0.2">
      <c r="B81" s="5"/>
      <c r="C81" s="4"/>
      <c r="D81" s="4"/>
      <c r="E81" s="13"/>
      <c r="F81" s="4"/>
      <c r="G81" s="4"/>
      <c r="H81" s="7"/>
      <c r="I81" s="4"/>
      <c r="J81" s="4"/>
      <c r="K81" s="4"/>
      <c r="L81" s="7"/>
      <c r="M81" s="4"/>
      <c r="N81" s="4"/>
      <c r="O81" s="4"/>
      <c r="P81" s="7"/>
      <c r="Q81" s="4"/>
      <c r="R81" s="3"/>
      <c r="S81" s="33"/>
      <c r="T81" s="5"/>
      <c r="U81" s="34"/>
      <c r="V81"/>
    </row>
    <row r="82" spans="1:22" s="2" customFormat="1" x14ac:dyDescent="0.2">
      <c r="A82" s="2" t="s">
        <v>84</v>
      </c>
      <c r="B82" s="5">
        <v>2014</v>
      </c>
      <c r="C82" s="4">
        <v>4.0128682799971784</v>
      </c>
      <c r="D82" s="4">
        <v>1.2063326408288215</v>
      </c>
      <c r="E82" s="13">
        <v>9.1204772165228865E-3</v>
      </c>
      <c r="F82" s="4">
        <v>1.028</v>
      </c>
      <c r="G82" s="4">
        <v>586390</v>
      </c>
      <c r="H82" s="7">
        <v>53.668156029298075</v>
      </c>
      <c r="I82" s="4">
        <v>340491.60525743995</v>
      </c>
      <c r="J82" s="4">
        <v>2.5861999999999998</v>
      </c>
      <c r="K82" s="4">
        <v>40.4071</v>
      </c>
      <c r="L82" s="7">
        <v>1</v>
      </c>
      <c r="M82" s="4">
        <v>506.0951</v>
      </c>
      <c r="N82" s="4">
        <v>13.379839649075643</v>
      </c>
      <c r="O82" s="4">
        <v>2.1243295819329114E-2</v>
      </c>
      <c r="P82" s="7">
        <v>3.2947752188415912E-2</v>
      </c>
      <c r="Q82" s="4">
        <v>1.7881022974401632</v>
      </c>
      <c r="R82" s="3">
        <v>7.447850847720503E-3</v>
      </c>
      <c r="S82" s="33">
        <v>9.457781607341903E-2</v>
      </c>
      <c r="T82" s="5">
        <v>99.9</v>
      </c>
      <c r="U82" s="34">
        <v>0.12046267500000001</v>
      </c>
      <c r="V82">
        <v>6.1434340944886703</v>
      </c>
    </row>
    <row r="83" spans="1:22" s="2" customFormat="1" x14ac:dyDescent="0.2">
      <c r="A83" s="2" t="s">
        <v>84</v>
      </c>
      <c r="B83" s="5">
        <v>2015</v>
      </c>
      <c r="C83" s="4">
        <v>3.5684733536490563</v>
      </c>
      <c r="D83" s="4">
        <v>1.8031143277657922</v>
      </c>
      <c r="E83" s="13">
        <v>9.1557993329273672E-3</v>
      </c>
      <c r="F83" s="4">
        <v>1.0062</v>
      </c>
      <c r="G83" s="4">
        <v>742292</v>
      </c>
      <c r="H83" s="7">
        <v>26.5867426115725</v>
      </c>
      <c r="I83" s="4">
        <v>505898.9576652</v>
      </c>
      <c r="J83" s="4">
        <v>2.2566000000000002</v>
      </c>
      <c r="K83" s="4">
        <v>38.3872</v>
      </c>
      <c r="L83" s="7">
        <v>1</v>
      </c>
      <c r="M83" s="4">
        <v>449.39589999999998</v>
      </c>
      <c r="N83" s="4">
        <v>13.454297504077863</v>
      </c>
      <c r="O83" s="4">
        <v>2.4620028412265311E-2</v>
      </c>
      <c r="P83" s="7">
        <v>2.8005995049074819E-2</v>
      </c>
      <c r="Q83" s="4">
        <v>1.7954059384172845</v>
      </c>
      <c r="R83" s="3">
        <v>7.495793394386106E-3</v>
      </c>
      <c r="S83" s="33">
        <v>5.5934460075526035E-2</v>
      </c>
      <c r="T83" s="5">
        <v>40.6</v>
      </c>
      <c r="U83" s="34">
        <v>0.11306368333333332</v>
      </c>
      <c r="V83">
        <v>6.22748867298455</v>
      </c>
    </row>
    <row r="84" spans="1:22" s="2" customFormat="1" x14ac:dyDescent="0.2">
      <c r="A84" s="2" t="s">
        <v>84</v>
      </c>
      <c r="B84" s="5">
        <v>2016</v>
      </c>
      <c r="C84" s="4">
        <v>3.0385461850321627</v>
      </c>
      <c r="D84" s="4">
        <v>-0.13132000052996848</v>
      </c>
      <c r="E84" s="13">
        <v>1.3817739549960682E-2</v>
      </c>
      <c r="F84" s="4">
        <v>0.99609999999999999</v>
      </c>
      <c r="G84" s="4">
        <v>1444903</v>
      </c>
      <c r="H84" s="7">
        <v>94.654260048606204</v>
      </c>
      <c r="I84" s="4">
        <v>597089.55082195997</v>
      </c>
      <c r="J84" s="4">
        <v>1.8631</v>
      </c>
      <c r="K84" s="4">
        <v>34.163699999999999</v>
      </c>
      <c r="L84" s="7">
        <v>1</v>
      </c>
      <c r="M84" s="4">
        <v>669.7106</v>
      </c>
      <c r="N84" s="4">
        <v>13.652505305171669</v>
      </c>
      <c r="O84" s="4">
        <v>2.6159557391490909E-2</v>
      </c>
      <c r="P84" s="7">
        <v>2.9011651104549206E-2</v>
      </c>
      <c r="Q84" s="4">
        <v>1.8130425362638183</v>
      </c>
      <c r="R84" s="3">
        <v>7.9863523128693038E-3</v>
      </c>
      <c r="S84" s="33">
        <v>1.5525894567969992E-2</v>
      </c>
      <c r="T84" s="5">
        <v>40.6</v>
      </c>
      <c r="U84" s="34">
        <v>0.10788815833333336</v>
      </c>
      <c r="V84">
        <v>6.6444778294468003</v>
      </c>
    </row>
    <row r="85" spans="1:22" s="2" customFormat="1" x14ac:dyDescent="0.2">
      <c r="A85" s="2" t="s">
        <v>84</v>
      </c>
      <c r="B85" s="5">
        <v>2017</v>
      </c>
      <c r="C85" s="4">
        <v>2.8277757165337829</v>
      </c>
      <c r="D85" s="4">
        <v>0.33752367813262291</v>
      </c>
      <c r="E85" s="13">
        <v>6.1863658714749218E-3</v>
      </c>
      <c r="F85" s="4">
        <v>0.98770000000000002</v>
      </c>
      <c r="G85" s="4">
        <v>1966772</v>
      </c>
      <c r="H85" s="7">
        <v>36.117926255257274</v>
      </c>
      <c r="I85" s="4">
        <v>736003.28588335996</v>
      </c>
      <c r="J85" s="4">
        <v>1.5041</v>
      </c>
      <c r="K85" s="4">
        <v>34.153100000000002</v>
      </c>
      <c r="L85" s="7">
        <v>1</v>
      </c>
      <c r="M85" s="4">
        <v>617.63469999999995</v>
      </c>
      <c r="N85" s="4">
        <v>13.717983990426273</v>
      </c>
      <c r="O85" s="4">
        <v>2.6573053538175895E-2</v>
      </c>
      <c r="P85" s="7">
        <v>1.8475450266684901E-2</v>
      </c>
      <c r="Q85" s="4">
        <v>2.3836398930468037</v>
      </c>
      <c r="R85" s="3">
        <v>9.4538514054744536E-3</v>
      </c>
      <c r="S85" s="33">
        <v>9.5891306540979396E-2</v>
      </c>
      <c r="T85" s="5">
        <v>39.299999999999997</v>
      </c>
      <c r="U85" s="34">
        <v>0.10495592499999999</v>
      </c>
      <c r="V85">
        <v>6.7587550863359702</v>
      </c>
    </row>
    <row r="86" spans="1:22" s="2" customFormat="1" x14ac:dyDescent="0.2">
      <c r="A86" s="2" t="s">
        <v>84</v>
      </c>
      <c r="B86" s="5">
        <v>2018</v>
      </c>
      <c r="C86" s="4">
        <v>2.8512225285608541</v>
      </c>
      <c r="D86" s="4">
        <v>0.50475968490615097</v>
      </c>
      <c r="E86" s="13">
        <v>8.3799824327941645E-3</v>
      </c>
      <c r="F86" s="4">
        <v>0.9718</v>
      </c>
      <c r="G86" s="4">
        <v>3392233</v>
      </c>
      <c r="H86" s="7">
        <v>72.477185967666813</v>
      </c>
      <c r="I86" s="4">
        <v>783070.08317865001</v>
      </c>
      <c r="J86" s="4">
        <v>1.3546</v>
      </c>
      <c r="K86" s="4">
        <v>32.326099999999997</v>
      </c>
      <c r="L86" s="7">
        <v>1</v>
      </c>
      <c r="M86" s="4">
        <v>530.26229999999998</v>
      </c>
      <c r="N86" s="4">
        <v>13.678006049701331</v>
      </c>
      <c r="O86" s="4">
        <v>2.3125922281981546E-2</v>
      </c>
      <c r="P86" s="7">
        <v>2.3019183408347237E-2</v>
      </c>
      <c r="Q86" s="4">
        <v>2.6991069123169207</v>
      </c>
      <c r="R86" s="3">
        <v>9.640141266072386E-3</v>
      </c>
      <c r="S86" s="33">
        <v>0.12870455661971003</v>
      </c>
      <c r="T86" s="5">
        <v>37.9</v>
      </c>
      <c r="U86" s="34">
        <v>0.14311219999999999</v>
      </c>
      <c r="V86">
        <v>6.6159571773543897</v>
      </c>
    </row>
    <row r="87" spans="1:22" s="2" customFormat="1" x14ac:dyDescent="0.2">
      <c r="A87" s="2" t="s">
        <v>84</v>
      </c>
      <c r="B87" s="5">
        <v>2019</v>
      </c>
      <c r="C87" s="4">
        <v>2.8839837277664215</v>
      </c>
      <c r="D87" s="4">
        <v>0.63515799369628356</v>
      </c>
      <c r="E87" s="13">
        <v>4.532853818753171E-3</v>
      </c>
      <c r="F87" s="4">
        <v>0.97419999999999995</v>
      </c>
      <c r="G87" s="4">
        <v>3865060</v>
      </c>
      <c r="H87" s="7">
        <v>13.938517784597934</v>
      </c>
      <c r="I87" s="4">
        <v>781758.31673309999</v>
      </c>
      <c r="J87" s="4">
        <v>2.1427999999999998</v>
      </c>
      <c r="K87" s="4">
        <v>30.046099999999999</v>
      </c>
      <c r="L87" s="7">
        <v>1</v>
      </c>
      <c r="M87" s="4">
        <v>456.55790000000002</v>
      </c>
      <c r="N87" s="4">
        <v>13.774236245538697</v>
      </c>
      <c r="O87" s="4">
        <v>1.6393503676849948E-2</v>
      </c>
      <c r="P87" s="7">
        <v>2.1658800674137245E-2</v>
      </c>
      <c r="Q87" s="4">
        <v>2.3529384566179496</v>
      </c>
      <c r="R87" s="3">
        <v>9.5953252277857313E-3</v>
      </c>
      <c r="S87" s="33">
        <v>2.7712383170145276E-2</v>
      </c>
      <c r="T87" s="5">
        <v>37.700000000000003</v>
      </c>
      <c r="U87" s="34">
        <v>0.29669430000000002</v>
      </c>
      <c r="V87">
        <v>6.9083850099290096</v>
      </c>
    </row>
    <row r="88" spans="1:22" s="2" customFormat="1" x14ac:dyDescent="0.2">
      <c r="A88" s="2" t="s">
        <v>84</v>
      </c>
      <c r="B88" s="5">
        <v>2020</v>
      </c>
      <c r="C88" s="4">
        <v>1.805396617635195</v>
      </c>
      <c r="D88" s="4">
        <v>-32.717520845591288</v>
      </c>
      <c r="E88" s="13">
        <v>0.34369296447506575</v>
      </c>
      <c r="F88" s="4">
        <v>0.96479999999999999</v>
      </c>
      <c r="G88" s="4">
        <v>3390064</v>
      </c>
      <c r="H88" s="7">
        <v>-12.289485803583904</v>
      </c>
      <c r="I88" s="4">
        <v>1073211.92</v>
      </c>
      <c r="J88" s="4">
        <v>2.1368999999999998</v>
      </c>
      <c r="K88" s="4">
        <v>34.404000000000003</v>
      </c>
      <c r="L88" s="7">
        <v>1</v>
      </c>
      <c r="M88" s="4">
        <v>466.80189999999999</v>
      </c>
      <c r="N88" s="4">
        <v>13.878297546063038</v>
      </c>
      <c r="O88" s="4">
        <v>1.8587255409221782E-2</v>
      </c>
      <c r="P88" s="7">
        <v>2.2711884005278762E-2</v>
      </c>
      <c r="Q88" s="4">
        <v>4.0700438545654762</v>
      </c>
      <c r="R88" s="3">
        <v>1.0241099927893455E-2</v>
      </c>
      <c r="S88" s="33">
        <v>2.8555740275520065E-2</v>
      </c>
      <c r="T88" s="5">
        <v>37.9</v>
      </c>
      <c r="U88" s="34">
        <v>0.27519169999999998</v>
      </c>
      <c r="V88">
        <v>6.9007672694492497</v>
      </c>
    </row>
    <row r="89" spans="1:22" s="2" customFormat="1" x14ac:dyDescent="0.2">
      <c r="A89" s="2" t="s">
        <v>84</v>
      </c>
      <c r="B89" s="5">
        <v>2021</v>
      </c>
      <c r="C89" s="4">
        <v>1.7981997415100555</v>
      </c>
      <c r="D89" s="4">
        <v>0.78291804312607172</v>
      </c>
      <c r="E89" s="13">
        <v>9.1537328581646756E-5</v>
      </c>
      <c r="F89" s="4">
        <v>0.94020000000000004</v>
      </c>
      <c r="G89" s="4">
        <v>4099997</v>
      </c>
      <c r="H89" s="7">
        <v>20.941581043897699</v>
      </c>
      <c r="I89" s="4">
        <v>1138093.56</v>
      </c>
      <c r="J89" s="4">
        <v>1.9069</v>
      </c>
      <c r="K89" s="4">
        <v>36.318100000000001</v>
      </c>
      <c r="L89" s="7">
        <v>1</v>
      </c>
      <c r="M89" s="4">
        <v>417.08049999999997</v>
      </c>
      <c r="N89" s="4">
        <v>13.905259850107882</v>
      </c>
      <c r="O89" s="4">
        <v>2.5495857095617074E-2</v>
      </c>
      <c r="P89" s="7">
        <v>2.3489033813008788E-2</v>
      </c>
      <c r="Q89" s="4">
        <v>4.2669662676759161</v>
      </c>
      <c r="R89" s="3">
        <v>1.0642241900005742E-2</v>
      </c>
      <c r="S89" s="33">
        <v>0.21328775065622899</v>
      </c>
      <c r="T89" s="5">
        <v>38.5</v>
      </c>
      <c r="U89" s="34">
        <v>0.17849286666666667</v>
      </c>
      <c r="V89">
        <v>6.4489751802431599</v>
      </c>
    </row>
    <row r="90" spans="1:22" s="2" customFormat="1" x14ac:dyDescent="0.2">
      <c r="A90" s="2" t="s">
        <v>84</v>
      </c>
      <c r="B90" s="5">
        <v>2022</v>
      </c>
      <c r="C90" s="4">
        <v>1.8044064402379094</v>
      </c>
      <c r="D90" s="4">
        <v>-0.14042587206328663</v>
      </c>
      <c r="E90" s="13">
        <v>1.2341002681240158E-2</v>
      </c>
      <c r="F90" s="4">
        <v>0.93689999999999996</v>
      </c>
      <c r="G90" s="4">
        <v>3811811</v>
      </c>
      <c r="H90" s="7">
        <v>-7.0289319723892474</v>
      </c>
      <c r="I90" s="4">
        <v>1005836.3400000001</v>
      </c>
      <c r="J90" s="4">
        <v>1.5968</v>
      </c>
      <c r="K90" s="4">
        <v>40.6633</v>
      </c>
      <c r="L90" s="7">
        <v>1</v>
      </c>
      <c r="M90" s="4">
        <v>406.44369999999998</v>
      </c>
      <c r="N90" s="4">
        <v>13.866013540137381</v>
      </c>
      <c r="O90" s="4">
        <v>2.3411141849998221E-2</v>
      </c>
      <c r="P90" s="7">
        <v>1.7679147686092304E-2</v>
      </c>
      <c r="Q90" s="4">
        <v>4.1827817862925833</v>
      </c>
      <c r="R90" s="3">
        <v>1.0293400059587867E-2</v>
      </c>
      <c r="S90" s="33">
        <v>8.0082772214906672E-3</v>
      </c>
      <c r="T90" s="5">
        <v>38.299999999999997</v>
      </c>
      <c r="U90" s="34">
        <v>0.37974000833333332</v>
      </c>
      <c r="V90">
        <v>6.7371581123711897</v>
      </c>
    </row>
    <row r="91" spans="1:22" s="2" customFormat="1" x14ac:dyDescent="0.2">
      <c r="B91" s="5"/>
      <c r="C91" s="4"/>
      <c r="D91" s="4"/>
      <c r="E91" s="13"/>
      <c r="F91" s="4"/>
      <c r="G91" s="4"/>
      <c r="H91" s="7"/>
      <c r="I91" s="4"/>
      <c r="J91" s="4"/>
      <c r="K91" s="4"/>
      <c r="L91" s="7"/>
      <c r="M91" s="4"/>
      <c r="N91" s="4"/>
      <c r="O91" s="4"/>
      <c r="P91" s="7"/>
      <c r="Q91" s="4"/>
      <c r="R91" s="3"/>
      <c r="S91" s="33"/>
      <c r="T91" s="5"/>
      <c r="U91" s="34"/>
      <c r="V91"/>
    </row>
    <row r="92" spans="1:22" s="2" customFormat="1" x14ac:dyDescent="0.2">
      <c r="A92" s="2" t="s">
        <v>33</v>
      </c>
      <c r="B92" s="5">
        <v>2014</v>
      </c>
      <c r="C92" s="8">
        <v>5.239602010521681</v>
      </c>
      <c r="D92" s="4">
        <v>2.957897889831659</v>
      </c>
      <c r="E92" s="6">
        <v>-1.276927880028721E-2</v>
      </c>
      <c r="F92" s="11">
        <v>0.95669999999999999</v>
      </c>
      <c r="G92" s="8">
        <v>158704952</v>
      </c>
      <c r="H92" s="7">
        <v>-20.334652688195405</v>
      </c>
      <c r="I92" s="4">
        <v>286437.09258250002</v>
      </c>
      <c r="J92" s="11">
        <v>2.3649</v>
      </c>
      <c r="K92" s="11">
        <v>55.409399999999998</v>
      </c>
      <c r="L92" s="7">
        <v>1</v>
      </c>
      <c r="M92" s="8">
        <v>166.83860000000001</v>
      </c>
      <c r="N92" s="8">
        <v>12.549991595358412</v>
      </c>
      <c r="O92" s="8">
        <v>1.04963636993972E-2</v>
      </c>
      <c r="P92" s="8">
        <v>2.274536444143696E-2</v>
      </c>
      <c r="Q92" s="8">
        <v>1.6907319091502502</v>
      </c>
      <c r="R92" s="3">
        <v>1.1042817001026085E-2</v>
      </c>
      <c r="S92" s="33">
        <v>8.2815448769750916E-2</v>
      </c>
      <c r="T92" s="5">
        <v>49.8</v>
      </c>
      <c r="U92" s="34">
        <v>0.29875190000000001</v>
      </c>
      <c r="V92">
        <v>1052.8399999999999</v>
      </c>
    </row>
    <row r="93" spans="1:22" s="2" customFormat="1" x14ac:dyDescent="0.2">
      <c r="A93" s="2" t="s">
        <v>33</v>
      </c>
      <c r="B93" s="5">
        <v>2015</v>
      </c>
      <c r="C93" s="8">
        <v>5.8493763084388108</v>
      </c>
      <c r="D93" s="4">
        <v>0.83599734967775174</v>
      </c>
      <c r="E93" s="6">
        <v>9.3290255781677354E-3</v>
      </c>
      <c r="F93" s="11">
        <v>0.95179999999999998</v>
      </c>
      <c r="G93" s="8">
        <v>167459287</v>
      </c>
      <c r="H93" s="7">
        <v>5.516107021033597</v>
      </c>
      <c r="I93" s="4">
        <v>245343.18836632001</v>
      </c>
      <c r="J93" s="11">
        <v>2.1667000000000001</v>
      </c>
      <c r="K93" s="11">
        <v>71.564099999999996</v>
      </c>
      <c r="L93" s="7">
        <v>1</v>
      </c>
      <c r="M93" s="8">
        <v>171.01599999999999</v>
      </c>
      <c r="N93" s="8">
        <v>12.542003698595122</v>
      </c>
      <c r="O93" s="8">
        <v>1.0437206408505782E-2</v>
      </c>
      <c r="P93" s="8">
        <v>2.266258784905242E-2</v>
      </c>
      <c r="Q93" s="8">
        <v>2.2912229144190386</v>
      </c>
      <c r="R93" s="3">
        <v>1.1030955354509096E-2</v>
      </c>
      <c r="S93" s="33">
        <v>-1.2493934145101969E-2</v>
      </c>
      <c r="T93" s="5">
        <v>50.1</v>
      </c>
      <c r="U93" s="34">
        <v>0.11522837500000001</v>
      </c>
      <c r="V93">
        <v>1130.9525000000001</v>
      </c>
    </row>
    <row r="94" spans="1:22" s="2" customFormat="1" x14ac:dyDescent="0.2">
      <c r="A94" s="2" t="s">
        <v>33</v>
      </c>
      <c r="B94" s="5">
        <v>2016</v>
      </c>
      <c r="C94" s="8">
        <v>6.5173169761418155</v>
      </c>
      <c r="D94" s="4">
        <v>7.2354577579407779</v>
      </c>
      <c r="E94" s="6">
        <v>-5.4406133725688498E-2</v>
      </c>
      <c r="F94" s="11">
        <v>0.96289999999999998</v>
      </c>
      <c r="G94" s="8">
        <v>269267852</v>
      </c>
      <c r="H94" s="7">
        <v>60.796010077362858</v>
      </c>
      <c r="I94" s="4">
        <v>187496.29321087</v>
      </c>
      <c r="J94" s="11">
        <v>2.0299</v>
      </c>
      <c r="K94" s="11">
        <v>77.872</v>
      </c>
      <c r="L94" s="7">
        <v>1</v>
      </c>
      <c r="M94" s="8">
        <v>199.56569999999999</v>
      </c>
      <c r="N94" s="8">
        <v>12.647518288141933</v>
      </c>
      <c r="O94" s="8">
        <v>8.5149737708647231E-3</v>
      </c>
      <c r="P94" s="8">
        <v>1.9756083485655263E-2</v>
      </c>
      <c r="Q94" s="8">
        <v>2.1582977134958359</v>
      </c>
      <c r="R94" s="3">
        <v>1.1158400281260054E-2</v>
      </c>
      <c r="S94" s="33">
        <v>2.342678227586574E-2</v>
      </c>
      <c r="T94" s="5">
        <v>64.099999999999994</v>
      </c>
      <c r="U94" s="34">
        <v>0.10451268333333334</v>
      </c>
      <c r="V94">
        <v>1160.7674999999999</v>
      </c>
    </row>
    <row r="95" spans="1:22" s="2" customFormat="1" x14ac:dyDescent="0.2">
      <c r="A95" s="2" t="s">
        <v>33</v>
      </c>
      <c r="B95" s="5">
        <v>2017</v>
      </c>
      <c r="C95" s="8">
        <v>8.4164007484433494</v>
      </c>
      <c r="D95" s="4">
        <v>1.1295740047756906</v>
      </c>
      <c r="E95" s="6">
        <v>4.8587700791202426E-3</v>
      </c>
      <c r="F95" s="11">
        <v>0.98</v>
      </c>
      <c r="G95" s="8">
        <v>335849138</v>
      </c>
      <c r="H95" s="7">
        <v>24.726786174236647</v>
      </c>
      <c r="I95" s="4">
        <v>187670.28649726001</v>
      </c>
      <c r="J95" s="11">
        <v>2.1640999999999999</v>
      </c>
      <c r="K95" s="11">
        <v>77.195899999999995</v>
      </c>
      <c r="L95" s="7">
        <v>1</v>
      </c>
      <c r="M95" s="8">
        <v>222.52549999999999</v>
      </c>
      <c r="N95" s="8">
        <v>12.922018815443755</v>
      </c>
      <c r="O95" s="8">
        <v>7.2293470597549212E-3</v>
      </c>
      <c r="P95" s="8">
        <v>1.924207573879505E-2</v>
      </c>
      <c r="Q95" s="8">
        <v>0.91461826683351255</v>
      </c>
      <c r="R95" s="3">
        <v>1.1411175595587983E-2</v>
      </c>
      <c r="S95" s="33">
        <v>8.2520461084358843E-2</v>
      </c>
      <c r="T95" s="5">
        <v>55.3</v>
      </c>
      <c r="U95" s="34">
        <v>6.2295183333333337E-2</v>
      </c>
      <c r="V95">
        <v>1131.0008333333301</v>
      </c>
    </row>
    <row r="96" spans="1:22" s="2" customFormat="1" x14ac:dyDescent="0.2">
      <c r="A96" s="2" t="s">
        <v>33</v>
      </c>
      <c r="B96" s="5">
        <v>2018</v>
      </c>
      <c r="C96" s="8">
        <v>6.9974527495636254</v>
      </c>
      <c r="D96" s="4">
        <v>1.6721741272144357</v>
      </c>
      <c r="E96" s="6">
        <v>1.5320256735072001E-3</v>
      </c>
      <c r="F96" s="11">
        <v>0.96389999999999998</v>
      </c>
      <c r="G96" s="8">
        <v>388235197</v>
      </c>
      <c r="H96" s="7">
        <v>15.598092438754453</v>
      </c>
      <c r="I96" s="4">
        <v>171547.64582074</v>
      </c>
      <c r="J96" s="11">
        <v>2.1648000000000001</v>
      </c>
      <c r="K96" s="11">
        <v>79.426100000000005</v>
      </c>
      <c r="L96" s="7">
        <v>1</v>
      </c>
      <c r="M96" s="8">
        <v>249.5094</v>
      </c>
      <c r="N96" s="8">
        <v>12.973166113995076</v>
      </c>
      <c r="O96" s="8">
        <v>8.1093522262231724E-3</v>
      </c>
      <c r="P96" s="8">
        <v>1.3841260309500785E-2</v>
      </c>
      <c r="Q96" s="8">
        <v>1.1317311085545656</v>
      </c>
      <c r="R96" s="3">
        <v>1.1627373305712453E-2</v>
      </c>
      <c r="S96" s="33">
        <v>6.2161478999902813E-2</v>
      </c>
      <c r="T96" s="5">
        <v>82.1</v>
      </c>
      <c r="U96" s="34">
        <v>0.11812107500000001</v>
      </c>
      <c r="V96">
        <v>1100.16333333333</v>
      </c>
    </row>
    <row r="97" spans="1:22" s="2" customFormat="1" x14ac:dyDescent="0.2">
      <c r="A97" s="2" t="s">
        <v>33</v>
      </c>
      <c r="B97" s="5">
        <v>2019</v>
      </c>
      <c r="C97" s="8">
        <v>6.9642406651334738</v>
      </c>
      <c r="D97" s="4">
        <v>1.1675172209350315</v>
      </c>
      <c r="E97" s="6">
        <v>3.4612529685224881E-3</v>
      </c>
      <c r="F97" s="11">
        <v>0.96150000000000002</v>
      </c>
      <c r="G97" s="8">
        <v>463624997</v>
      </c>
      <c r="H97" s="7">
        <v>19.418589706074485</v>
      </c>
      <c r="I97" s="4">
        <v>142994.52822199999</v>
      </c>
      <c r="J97" s="11">
        <v>2.0405000000000002</v>
      </c>
      <c r="K97" s="11">
        <v>79.657499999999999</v>
      </c>
      <c r="L97" s="7">
        <v>1</v>
      </c>
      <c r="M97" s="8">
        <v>235.0813</v>
      </c>
      <c r="N97" s="8">
        <v>13.014694448298053</v>
      </c>
      <c r="O97" s="8">
        <v>7.0390873860484782E-3</v>
      </c>
      <c r="P97" s="8">
        <v>1.1808572289848079E-2</v>
      </c>
      <c r="Q97" s="8">
        <v>1.2119406374546642</v>
      </c>
      <c r="R97" s="3">
        <v>1.1194381229101512E-2</v>
      </c>
      <c r="S97" s="33">
        <v>-4.2567684038611962E-2</v>
      </c>
      <c r="T97" s="5">
        <v>82.1</v>
      </c>
      <c r="U97" s="34">
        <v>0.10839685</v>
      </c>
      <c r="V97">
        <v>1165.3575000000001</v>
      </c>
    </row>
    <row r="98" spans="1:22" s="2" customFormat="1" x14ac:dyDescent="0.2">
      <c r="A98" s="2" t="s">
        <v>33</v>
      </c>
      <c r="B98" s="5">
        <v>2020</v>
      </c>
      <c r="C98" s="8">
        <v>6.4584519511769543</v>
      </c>
      <c r="D98" s="4">
        <v>-2.4082070160882228E-2</v>
      </c>
      <c r="E98" s="6">
        <v>3.2590180778189766E-2</v>
      </c>
      <c r="F98" s="11">
        <v>0.95799999999999996</v>
      </c>
      <c r="G98" s="8">
        <v>487500443</v>
      </c>
      <c r="H98" s="7">
        <v>5.1497322522495486</v>
      </c>
      <c r="I98" s="4">
        <v>136918.38569393998</v>
      </c>
      <c r="J98" s="11">
        <v>1.923</v>
      </c>
      <c r="K98" s="11">
        <v>80.1999</v>
      </c>
      <c r="L98" s="7">
        <v>1</v>
      </c>
      <c r="M98" s="8">
        <v>265.36099999999999</v>
      </c>
      <c r="N98" s="8">
        <v>13.237317604017173</v>
      </c>
      <c r="O98" s="8">
        <v>8.6302009863726253E-3</v>
      </c>
      <c r="P98" s="8">
        <v>1.4261808311288491E-2</v>
      </c>
      <c r="Q98" s="8">
        <v>0.99666777099431669</v>
      </c>
      <c r="R98" s="3">
        <v>1.1236642839642992E-2</v>
      </c>
      <c r="S98" s="33">
        <v>-4.305467025402558E-3</v>
      </c>
      <c r="T98" s="5">
        <v>56.9</v>
      </c>
      <c r="U98" s="34">
        <v>0.13288566666666665</v>
      </c>
      <c r="V98">
        <v>1180.26583333333</v>
      </c>
    </row>
    <row r="99" spans="1:22" s="2" customFormat="1" x14ac:dyDescent="0.2">
      <c r="A99" s="2" t="s">
        <v>33</v>
      </c>
      <c r="B99" s="5">
        <v>2021</v>
      </c>
      <c r="C99" s="8">
        <v>7.2054938187410507</v>
      </c>
      <c r="D99" s="4">
        <v>-0.408405671207136</v>
      </c>
      <c r="E99" s="6">
        <v>2.3244036263524E-2</v>
      </c>
      <c r="F99" s="11">
        <v>0.96079999999999999</v>
      </c>
      <c r="G99" s="8">
        <v>567627749</v>
      </c>
      <c r="H99" s="7">
        <v>16.436355525527183</v>
      </c>
      <c r="I99" s="4">
        <v>110854.79896877</v>
      </c>
      <c r="J99" s="11">
        <v>1.9737</v>
      </c>
      <c r="K99" s="11">
        <v>77.981999999999999</v>
      </c>
      <c r="L99" s="7">
        <v>1</v>
      </c>
      <c r="M99" s="8">
        <v>264.75580000000002</v>
      </c>
      <c r="N99" s="8">
        <v>13.231935635987934</v>
      </c>
      <c r="O99" s="8">
        <v>8.7385958420673465E-3</v>
      </c>
      <c r="P99" s="8">
        <v>3.8074209251676615E-2</v>
      </c>
      <c r="Q99" s="8">
        <v>0.65289735496915724</v>
      </c>
      <c r="R99" s="3">
        <v>1.133218126688805E-2</v>
      </c>
      <c r="S99" s="33">
        <v>0.10134512568818534</v>
      </c>
      <c r="T99" s="5">
        <v>56.4</v>
      </c>
      <c r="U99" s="34">
        <v>0.10445814166666667</v>
      </c>
      <c r="V99">
        <v>1143.95166666667</v>
      </c>
    </row>
    <row r="100" spans="1:22" s="2" customFormat="1" x14ac:dyDescent="0.2">
      <c r="A100" s="2" t="s">
        <v>33</v>
      </c>
      <c r="B100" s="5">
        <v>2022</v>
      </c>
      <c r="C100" s="8">
        <v>6.7348620764030018</v>
      </c>
      <c r="D100" s="4">
        <v>1.3756012848210664</v>
      </c>
      <c r="E100" s="6">
        <v>7.8180709429398303E-3</v>
      </c>
      <c r="F100" s="11">
        <v>0.95799999999999996</v>
      </c>
      <c r="G100" s="8">
        <v>634919838</v>
      </c>
      <c r="H100" s="7">
        <v>11.854968175630892</v>
      </c>
      <c r="I100" s="4">
        <v>116097.12978240001</v>
      </c>
      <c r="J100" s="11">
        <v>2.1431</v>
      </c>
      <c r="K100" s="11">
        <v>78.299199999999999</v>
      </c>
      <c r="L100" s="7">
        <v>1</v>
      </c>
      <c r="M100" s="8">
        <v>288.4631</v>
      </c>
      <c r="N100" s="8">
        <v>13.232399644718058</v>
      </c>
      <c r="O100" s="8">
        <v>9.4366407694481749E-3</v>
      </c>
      <c r="P100" s="8">
        <v>3.7143202302574008E-2</v>
      </c>
      <c r="Q100" s="8">
        <v>1.3611954915952285</v>
      </c>
      <c r="R100" s="3">
        <v>1.1332023753037514E-2</v>
      </c>
      <c r="S100" s="33">
        <v>-8.0460454663042441E-2</v>
      </c>
      <c r="T100" s="5">
        <v>56.3</v>
      </c>
      <c r="U100" s="34">
        <v>0.180137675</v>
      </c>
      <c r="V100">
        <v>1291.4466666666699</v>
      </c>
    </row>
    <row r="101" spans="1:22" s="2" customFormat="1" x14ac:dyDescent="0.2">
      <c r="B101" s="5"/>
      <c r="C101" s="8"/>
      <c r="D101" s="4"/>
      <c r="E101" s="6"/>
      <c r="F101" s="11"/>
      <c r="G101" s="8"/>
      <c r="H101" s="7"/>
      <c r="I101" s="4"/>
      <c r="J101" s="11"/>
      <c r="K101" s="11"/>
      <c r="L101" s="7"/>
      <c r="M101" s="8"/>
      <c r="N101" s="8"/>
      <c r="O101" s="8"/>
      <c r="P101" s="8"/>
      <c r="Q101" s="8"/>
      <c r="R101" s="3"/>
      <c r="S101" s="33"/>
      <c r="T101" s="5"/>
      <c r="U101" s="34"/>
      <c r="V101"/>
    </row>
    <row r="102" spans="1:22" s="2" customFormat="1" x14ac:dyDescent="0.2">
      <c r="A102" s="2" t="s">
        <v>27</v>
      </c>
      <c r="B102" s="5">
        <v>2014</v>
      </c>
      <c r="C102" s="8">
        <v>5.5342414944578566</v>
      </c>
      <c r="D102" s="4">
        <v>-1.2181482920467632</v>
      </c>
      <c r="E102" s="9">
        <v>2.3425297529593186E-2</v>
      </c>
      <c r="F102" s="12" t="e">
        <v>#NAME?</v>
      </c>
      <c r="G102" s="12">
        <v>26903</v>
      </c>
      <c r="H102" s="12">
        <v>18.985542436171809</v>
      </c>
      <c r="I102" s="4">
        <v>37420.713553099995</v>
      </c>
      <c r="J102" s="21">
        <v>1.8872</v>
      </c>
      <c r="K102" s="8">
        <v>56.093800000000002</v>
      </c>
      <c r="L102" s="7">
        <v>1</v>
      </c>
      <c r="M102" s="8">
        <v>131.61779999999999</v>
      </c>
      <c r="N102" s="8">
        <v>11.023784307840655</v>
      </c>
      <c r="O102" s="8">
        <v>5.5602387399426162E-3</v>
      </c>
      <c r="P102" s="8">
        <v>7.5348269241285494E-3</v>
      </c>
      <c r="Q102" s="8">
        <v>3.3749764711113985</v>
      </c>
      <c r="R102" s="3">
        <v>1.0150084164484333E-2</v>
      </c>
      <c r="S102" s="33">
        <v>-6.8982897117293038E-2</v>
      </c>
      <c r="T102" s="5">
        <v>71.099999999999994</v>
      </c>
      <c r="U102" s="34">
        <v>0.10778419166666668</v>
      </c>
      <c r="V102">
        <v>1.1093632928169199</v>
      </c>
    </row>
    <row r="103" spans="1:22" s="2" customFormat="1" x14ac:dyDescent="0.2">
      <c r="A103" s="2" t="s">
        <v>27</v>
      </c>
      <c r="B103" s="5">
        <v>2015</v>
      </c>
      <c r="C103" s="8">
        <v>5.9561215944468771</v>
      </c>
      <c r="D103" s="4">
        <v>-3.3285172228961182</v>
      </c>
      <c r="E103" s="9">
        <v>5.0955506492940061E-2</v>
      </c>
      <c r="F103" s="12" t="e">
        <v>#NAME?</v>
      </c>
      <c r="G103" s="12">
        <v>27079.97</v>
      </c>
      <c r="H103" s="12">
        <v>0.65780767944095886</v>
      </c>
      <c r="I103" s="4">
        <v>24836.759512000001</v>
      </c>
      <c r="J103" s="10">
        <v>1.8734</v>
      </c>
      <c r="K103" s="8">
        <v>56.673999999999999</v>
      </c>
      <c r="L103" s="7">
        <v>1</v>
      </c>
      <c r="M103" s="8">
        <v>132.35730000000001</v>
      </c>
      <c r="N103" s="8">
        <v>10.837519946238144</v>
      </c>
      <c r="O103" s="8">
        <v>5.78389162639206E-3</v>
      </c>
      <c r="P103" s="8">
        <v>1.3356911550386314E-2</v>
      </c>
      <c r="Q103" s="8">
        <v>3.0099129843241044</v>
      </c>
      <c r="R103" s="3">
        <v>1.0424310081032439E-2</v>
      </c>
      <c r="S103" s="33">
        <v>-7.9729061071476787E-2</v>
      </c>
      <c r="T103" s="5">
        <v>70.900000000000006</v>
      </c>
      <c r="U103" s="34">
        <v>0.17763920833333333</v>
      </c>
      <c r="V103">
        <v>1.33109026245502</v>
      </c>
    </row>
    <row r="104" spans="1:22" s="2" customFormat="1" x14ac:dyDescent="0.2">
      <c r="A104" s="2" t="s">
        <v>27</v>
      </c>
      <c r="B104" s="5">
        <v>2016</v>
      </c>
      <c r="C104" s="8">
        <v>5.7130627441725217</v>
      </c>
      <c r="D104" s="4">
        <v>-6.9842431836675156E-2</v>
      </c>
      <c r="E104" s="9">
        <v>2.0445545446967247E-2</v>
      </c>
      <c r="F104" s="12" t="e">
        <v>#NAME?</v>
      </c>
      <c r="G104" s="12">
        <v>36228.68</v>
      </c>
      <c r="H104" s="12">
        <v>33.784047766670341</v>
      </c>
      <c r="I104" s="4">
        <v>22617.171128129998</v>
      </c>
      <c r="J104" s="10">
        <v>1.8833</v>
      </c>
      <c r="K104" s="8">
        <v>57.199199999999998</v>
      </c>
      <c r="L104" s="7">
        <v>1</v>
      </c>
      <c r="M104" s="8">
        <v>108.01130000000001</v>
      </c>
      <c r="N104" s="8">
        <v>10.840875949253819</v>
      </c>
      <c r="O104" s="8">
        <v>5.6545050743228454E-3</v>
      </c>
      <c r="P104" s="8">
        <v>1.2934219241776016E-2</v>
      </c>
      <c r="Q104" s="8">
        <v>2.502553961121893</v>
      </c>
      <c r="R104" s="3">
        <v>1.0092493601306969E-2</v>
      </c>
      <c r="S104" s="33">
        <v>-0.10663373506009644</v>
      </c>
      <c r="T104" s="5">
        <v>69.900000000000006</v>
      </c>
      <c r="U104" s="34">
        <v>0.26206356666666669</v>
      </c>
      <c r="V104">
        <v>1.3452139760194699</v>
      </c>
    </row>
    <row r="105" spans="1:22" s="2" customFormat="1" x14ac:dyDescent="0.2">
      <c r="A105" s="2" t="s">
        <v>27</v>
      </c>
      <c r="B105" s="5">
        <v>2017</v>
      </c>
      <c r="C105" s="8">
        <v>5.6938751634289719</v>
      </c>
      <c r="D105" s="4">
        <v>-8.1612314895823062</v>
      </c>
      <c r="E105" s="9">
        <v>9.7876396286445455E-2</v>
      </c>
      <c r="F105" s="12" t="e">
        <v>#NAME?</v>
      </c>
      <c r="G105" s="12">
        <v>36089.1</v>
      </c>
      <c r="H105" s="12">
        <v>-0.3852748706273641</v>
      </c>
      <c r="I105" s="4">
        <v>18072.897768639999</v>
      </c>
      <c r="J105" s="10">
        <v>1.8551</v>
      </c>
      <c r="K105" s="8">
        <v>55.574599999999997</v>
      </c>
      <c r="L105" s="7">
        <v>1</v>
      </c>
      <c r="M105" s="8">
        <v>107.3725</v>
      </c>
      <c r="N105" s="8">
        <v>10.912044215187032</v>
      </c>
      <c r="O105" s="8">
        <v>4.6266574039451145E-3</v>
      </c>
      <c r="P105" s="8">
        <v>1.0831104259310503E-2</v>
      </c>
      <c r="Q105" s="8">
        <v>2.236352023289395</v>
      </c>
      <c r="R105" s="3">
        <v>1.0297689821401154E-2</v>
      </c>
      <c r="S105" s="33">
        <v>9.9376978830331336E-2</v>
      </c>
      <c r="T105" s="5">
        <v>69.7</v>
      </c>
      <c r="U105" s="34">
        <v>0.38788858333333326</v>
      </c>
      <c r="V105">
        <v>1.3047580767159199</v>
      </c>
    </row>
    <row r="106" spans="1:22" s="2" customFormat="1" x14ac:dyDescent="0.2">
      <c r="A106" s="2" t="s">
        <v>27</v>
      </c>
      <c r="B106" s="5">
        <v>2018</v>
      </c>
      <c r="C106" s="8">
        <v>5.6707580690151387</v>
      </c>
      <c r="D106" s="4">
        <v>0.60470726571027955</v>
      </c>
      <c r="E106" s="9">
        <v>7.515886892468987E-3</v>
      </c>
      <c r="F106" s="12" t="e">
        <v>#NAME?</v>
      </c>
      <c r="G106" s="12">
        <v>44681.02</v>
      </c>
      <c r="H106" s="12">
        <v>23.80752083038923</v>
      </c>
      <c r="I106" s="4">
        <v>24530.809913639998</v>
      </c>
      <c r="J106" s="10">
        <v>1.9774</v>
      </c>
      <c r="K106" s="8">
        <v>56.158700000000003</v>
      </c>
      <c r="L106" s="7">
        <v>1</v>
      </c>
      <c r="M106" s="8">
        <v>97.635400000000004</v>
      </c>
      <c r="N106" s="8">
        <v>10.874694183136159</v>
      </c>
      <c r="O106" s="8">
        <v>4.9717648510086239E-3</v>
      </c>
      <c r="P106" s="8">
        <v>1.1014227453198189E-2</v>
      </c>
      <c r="Q106" s="8">
        <v>2.1345941907448349</v>
      </c>
      <c r="R106" s="3">
        <v>1.0399818672891291E-2</v>
      </c>
      <c r="S106" s="33">
        <v>7.6744456043470993E-2</v>
      </c>
      <c r="T106" s="5">
        <v>69.900000000000006</v>
      </c>
      <c r="U106" s="34">
        <v>0.15196149166666664</v>
      </c>
      <c r="V106">
        <v>1.33841214646451</v>
      </c>
    </row>
    <row r="107" spans="1:22" s="2" customFormat="1" x14ac:dyDescent="0.2">
      <c r="A107" s="2" t="s">
        <v>27</v>
      </c>
      <c r="B107" s="5">
        <v>2019</v>
      </c>
      <c r="C107" s="8">
        <v>4.9655971511023216</v>
      </c>
      <c r="D107" s="4">
        <v>0.72184561149923654</v>
      </c>
      <c r="E107" s="9">
        <v>5.1513620795779983E-3</v>
      </c>
      <c r="F107" s="12" t="e">
        <v>#NAME?</v>
      </c>
      <c r="G107" s="12">
        <v>79814</v>
      </c>
      <c r="H107" s="12">
        <v>78.630657939321907</v>
      </c>
      <c r="I107" s="4">
        <v>21568.12992336</v>
      </c>
      <c r="J107" s="10">
        <v>1.9611000000000001</v>
      </c>
      <c r="K107" s="8">
        <v>60.798000000000002</v>
      </c>
      <c r="L107" s="7">
        <v>1</v>
      </c>
      <c r="M107" s="8">
        <v>96.825100000000006</v>
      </c>
      <c r="N107" s="8">
        <v>10.83534427925146</v>
      </c>
      <c r="O107" s="8">
        <v>5.8342048488638915E-3</v>
      </c>
      <c r="P107" s="8">
        <v>1.0103498577499865E-2</v>
      </c>
      <c r="Q107" s="8">
        <v>2.4523550860004382</v>
      </c>
      <c r="R107" s="3">
        <v>1.0262074564269048E-2</v>
      </c>
      <c r="S107" s="33">
        <v>-2.5238976941071883E-2</v>
      </c>
      <c r="T107" s="5">
        <v>69.400000000000006</v>
      </c>
      <c r="U107" s="34">
        <v>0.21756721666666667</v>
      </c>
      <c r="V107">
        <v>1.4385065442138201</v>
      </c>
    </row>
    <row r="108" spans="1:22" s="2" customFormat="1" x14ac:dyDescent="0.2">
      <c r="A108" s="2" t="s">
        <v>27</v>
      </c>
      <c r="B108" s="5">
        <v>2020</v>
      </c>
      <c r="C108" s="8">
        <v>2.7742714767390924</v>
      </c>
      <c r="D108" s="4">
        <v>0.66277404462110079</v>
      </c>
      <c r="E108" s="9">
        <v>2.5273532892828729E-2</v>
      </c>
      <c r="F108" s="12" t="e">
        <v>#NAME?</v>
      </c>
      <c r="G108" s="12">
        <v>32780.71</v>
      </c>
      <c r="H108" s="12">
        <v>-58.928621545092341</v>
      </c>
      <c r="I108" s="4">
        <v>16501.82862471</v>
      </c>
      <c r="J108" s="10">
        <v>1.9581</v>
      </c>
      <c r="K108" s="8">
        <v>71.835700000000003</v>
      </c>
      <c r="L108" s="7">
        <v>1</v>
      </c>
      <c r="M108" s="8">
        <v>93.675600000000003</v>
      </c>
      <c r="N108" s="8">
        <v>10.866091709706861</v>
      </c>
      <c r="O108" s="8">
        <v>6.5465397516534527E-3</v>
      </c>
      <c r="P108" s="8">
        <v>1.0777135312973555E-2</v>
      </c>
      <c r="Q108" s="8">
        <v>3.2729816875292164</v>
      </c>
      <c r="R108" s="3">
        <v>1.0191017623844379E-2</v>
      </c>
      <c r="S108" s="33">
        <v>-4.6884808953549767E-2</v>
      </c>
      <c r="T108" s="5">
        <v>68.3</v>
      </c>
      <c r="U108" s="34">
        <v>0.20738910833333335</v>
      </c>
      <c r="V108">
        <v>1.4530851184701601</v>
      </c>
    </row>
    <row r="109" spans="1:22" s="2" customFormat="1" x14ac:dyDescent="0.2">
      <c r="A109" s="2" t="s">
        <v>27</v>
      </c>
      <c r="B109" s="5">
        <v>2021</v>
      </c>
      <c r="C109" s="8">
        <v>5.9267660654905923</v>
      </c>
      <c r="D109" s="4">
        <v>22.927466936608106</v>
      </c>
      <c r="E109" s="9">
        <v>-0.21246876422219446</v>
      </c>
      <c r="F109" s="12" t="e">
        <v>#NAME?</v>
      </c>
      <c r="G109" s="12">
        <v>18260.330000000002</v>
      </c>
      <c r="H109" s="12">
        <v>-44.295501836293347</v>
      </c>
      <c r="I109" s="4">
        <v>15636.07866612</v>
      </c>
      <c r="J109" s="10">
        <v>1.9448000000000001</v>
      </c>
      <c r="K109" s="8">
        <v>56.772399999999998</v>
      </c>
      <c r="L109" s="7">
        <v>1</v>
      </c>
      <c r="M109" s="8">
        <v>83.994600000000005</v>
      </c>
      <c r="N109" s="8">
        <v>11.080709627351293</v>
      </c>
      <c r="O109" s="8">
        <v>6.1589443348743951E-3</v>
      </c>
      <c r="P109" s="8">
        <v>7.6605075068813755E-2</v>
      </c>
      <c r="Q109" s="8">
        <v>0.59015519862661237</v>
      </c>
      <c r="R109" s="3">
        <v>9.7324591992866347E-3</v>
      </c>
      <c r="S109" s="33">
        <v>0.17013409527144688</v>
      </c>
      <c r="T109" s="5">
        <v>69.400000000000006</v>
      </c>
      <c r="U109" s="34">
        <v>0.22799430000000001</v>
      </c>
      <c r="V109">
        <v>1.3312242595708099</v>
      </c>
    </row>
    <row r="110" spans="1:22" s="2" customFormat="1" x14ac:dyDescent="0.2">
      <c r="A110" s="2" t="s">
        <v>27</v>
      </c>
      <c r="B110" s="5">
        <v>2022</v>
      </c>
      <c r="C110" s="8">
        <v>5.0136991409568816</v>
      </c>
      <c r="D110" s="4">
        <v>-7.9423458908011363E-2</v>
      </c>
      <c r="E110" s="9">
        <v>2.1135052957277044E-2</v>
      </c>
      <c r="F110" s="12" t="e">
        <v>#NAME?</v>
      </c>
      <c r="G110" s="12">
        <v>10327.68</v>
      </c>
      <c r="H110" s="12">
        <v>-43.441985988205033</v>
      </c>
      <c r="I110" s="4">
        <v>9005.4908532000009</v>
      </c>
      <c r="J110" s="10">
        <v>1.7455000000000001</v>
      </c>
      <c r="K110" s="8">
        <v>59.703499999999998</v>
      </c>
      <c r="L110" s="7">
        <v>1</v>
      </c>
      <c r="M110" s="8">
        <v>199.53659999999999</v>
      </c>
      <c r="N110" s="8">
        <v>11.094825038879872</v>
      </c>
      <c r="O110" s="8">
        <v>4.7652018551052142E-3</v>
      </c>
      <c r="P110" s="8">
        <v>3.2394236444795062E-2</v>
      </c>
      <c r="Q110" s="8">
        <v>0.47405195601892558</v>
      </c>
      <c r="R110" s="3">
        <v>1.045560206353527E-2</v>
      </c>
      <c r="S110" s="33">
        <v>7.9033467101142882E-2</v>
      </c>
      <c r="T110" s="5">
        <v>69.099999999999994</v>
      </c>
      <c r="U110" s="34">
        <v>0.16926596666666663</v>
      </c>
      <c r="V110">
        <v>1.4416644589652201</v>
      </c>
    </row>
    <row r="111" spans="1:22" s="2" customFormat="1" x14ac:dyDescent="0.2">
      <c r="B111" s="5"/>
      <c r="C111" s="8"/>
      <c r="D111" s="4"/>
      <c r="E111" s="9"/>
      <c r="F111" s="12"/>
      <c r="G111" s="12"/>
      <c r="H111" s="12"/>
      <c r="I111" s="4"/>
      <c r="J111" s="10"/>
      <c r="K111" s="8"/>
      <c r="L111" s="7"/>
      <c r="M111" s="8"/>
      <c r="N111" s="8"/>
      <c r="O111" s="8"/>
      <c r="P111" s="8"/>
      <c r="Q111" s="8"/>
      <c r="R111" s="3"/>
      <c r="S111" s="33"/>
      <c r="T111" s="5"/>
      <c r="U111" s="34"/>
      <c r="V111"/>
    </row>
    <row r="112" spans="1:22" s="2" customFormat="1" x14ac:dyDescent="0.2">
      <c r="A112" s="2" t="s">
        <v>38</v>
      </c>
      <c r="B112" s="5">
        <v>2014</v>
      </c>
      <c r="C112" s="8">
        <v>6.028783007744261</v>
      </c>
      <c r="D112" s="4">
        <v>42.881946714253914</v>
      </c>
      <c r="E112" s="6">
        <v>-0.41748777961127154</v>
      </c>
      <c r="F112" s="11">
        <v>0.98650000000000004</v>
      </c>
      <c r="G112" s="8">
        <v>168126.83100000001</v>
      </c>
      <c r="H112" s="7">
        <v>6.9203128677184029</v>
      </c>
      <c r="I112" s="4">
        <v>4751.5729531200004</v>
      </c>
      <c r="J112" s="11">
        <v>1.9525999999999999</v>
      </c>
      <c r="K112" s="11">
        <v>50.187100000000001</v>
      </c>
      <c r="L112" s="7">
        <v>1</v>
      </c>
      <c r="M112" s="8">
        <v>63.1494</v>
      </c>
      <c r="N112" s="8">
        <v>10.081686974996208</v>
      </c>
      <c r="O112" s="8">
        <v>4.7499909698345373E-3</v>
      </c>
      <c r="P112" s="8">
        <v>8.6739020292405614E-2</v>
      </c>
      <c r="Q112" s="8">
        <v>1.1851621702972697</v>
      </c>
      <c r="R112" s="3">
        <v>7.573750321771244E-3</v>
      </c>
      <c r="S112" s="33">
        <v>5.7175487891084675E-2</v>
      </c>
      <c r="T112" s="5">
        <v>61.4</v>
      </c>
      <c r="U112" s="34">
        <v>7.7804516666666657E-2</v>
      </c>
      <c r="V112">
        <v>7.7540833333333303</v>
      </c>
    </row>
    <row r="113" spans="1:22" s="2" customFormat="1" x14ac:dyDescent="0.2">
      <c r="A113" s="2" t="s">
        <v>38</v>
      </c>
      <c r="B113" s="5">
        <v>2015</v>
      </c>
      <c r="C113" s="8">
        <v>6.0398084648202452</v>
      </c>
      <c r="D113" s="4">
        <v>-1.8219531992629234</v>
      </c>
      <c r="E113" s="6">
        <v>3.9164627358065418E-2</v>
      </c>
      <c r="F113" s="11">
        <v>0.98860000000000003</v>
      </c>
      <c r="G113" s="8">
        <v>163032.22399999999</v>
      </c>
      <c r="H113" s="7">
        <v>-3.0302165155304794</v>
      </c>
      <c r="I113" s="4">
        <v>10555.23519102</v>
      </c>
      <c r="J113" s="11">
        <v>2.0459999999999998</v>
      </c>
      <c r="K113" s="11">
        <v>48.626600000000003</v>
      </c>
      <c r="L113" s="7">
        <v>1</v>
      </c>
      <c r="M113" s="8">
        <v>61.171399999999998</v>
      </c>
      <c r="N113" s="8">
        <v>10.138327133846087</v>
      </c>
      <c r="O113" s="8">
        <v>6.1567298252373998E-3</v>
      </c>
      <c r="P113" s="8">
        <v>8.7476186201218456E-2</v>
      </c>
      <c r="Q113" s="8">
        <v>0.91811098644947342</v>
      </c>
      <c r="R113" s="3">
        <v>7.3908433506639417E-3</v>
      </c>
      <c r="S113" s="33">
        <v>6.1502916934285043E-2</v>
      </c>
      <c r="T113" s="5">
        <v>60.9</v>
      </c>
      <c r="U113" s="34">
        <v>2.9720791666666666E-2</v>
      </c>
      <c r="V113">
        <v>7.7517500000000004</v>
      </c>
    </row>
    <row r="114" spans="1:22" s="2" customFormat="1" x14ac:dyDescent="0.2">
      <c r="A114" s="2" t="s">
        <v>38</v>
      </c>
      <c r="B114" s="5">
        <v>2016</v>
      </c>
      <c r="C114" s="8">
        <v>5.6470419576354578</v>
      </c>
      <c r="D114" s="4">
        <v>-0.84251901208957425</v>
      </c>
      <c r="E114" s="6">
        <v>2.3137182284010932E-2</v>
      </c>
      <c r="F114" s="11">
        <v>0.98550000000000004</v>
      </c>
      <c r="G114" s="8">
        <v>127832.402</v>
      </c>
      <c r="H114" s="7">
        <v>-21.590714483536697</v>
      </c>
      <c r="I114" s="4">
        <v>15421.432457309998</v>
      </c>
      <c r="J114" s="11">
        <v>2.1168</v>
      </c>
      <c r="K114" s="11">
        <v>50.109200000000001</v>
      </c>
      <c r="L114" s="7">
        <v>1</v>
      </c>
      <c r="M114" s="8">
        <v>74.818899999999999</v>
      </c>
      <c r="N114" s="8">
        <v>10.183596343700058</v>
      </c>
      <c r="O114" s="8">
        <v>7.4631094377056095E-3</v>
      </c>
      <c r="P114" s="8">
        <v>9.5610047316216987E-2</v>
      </c>
      <c r="Q114" s="8">
        <v>0.847094898754987</v>
      </c>
      <c r="R114" s="3">
        <v>7.3527289895338561E-3</v>
      </c>
      <c r="S114" s="33">
        <v>3.7088649642907798E-2</v>
      </c>
      <c r="T114" s="5">
        <v>61.6</v>
      </c>
      <c r="U114" s="34">
        <v>9.6016116666666665E-2</v>
      </c>
      <c r="V114">
        <v>7.7622499999999999</v>
      </c>
    </row>
    <row r="115" spans="1:22" s="2" customFormat="1" x14ac:dyDescent="0.2">
      <c r="A115" s="2" t="s">
        <v>38</v>
      </c>
      <c r="B115" s="5">
        <v>2017</v>
      </c>
      <c r="C115" s="8">
        <v>5.4875271424287053</v>
      </c>
      <c r="D115" s="4">
        <v>0.41426548330645657</v>
      </c>
      <c r="E115" s="6">
        <v>5.3431810921783897E-3</v>
      </c>
      <c r="F115" s="11">
        <v>0.99470000000000003</v>
      </c>
      <c r="G115" s="8">
        <v>125266.591</v>
      </c>
      <c r="H115" s="7">
        <v>-2.0071679479198097</v>
      </c>
      <c r="I115" s="4">
        <v>9912.0629195600013</v>
      </c>
      <c r="J115" s="11">
        <v>2.1175000000000002</v>
      </c>
      <c r="K115" s="11">
        <v>45.282899999999998</v>
      </c>
      <c r="L115" s="7">
        <v>1</v>
      </c>
      <c r="M115" s="8">
        <v>63.501300000000001</v>
      </c>
      <c r="N115" s="8">
        <v>10.242228581357951</v>
      </c>
      <c r="O115" s="8">
        <v>5.5519373008107893E-3</v>
      </c>
      <c r="P115" s="8">
        <v>8.9146578847348584E-2</v>
      </c>
      <c r="Q115" s="8">
        <v>0.63740047833515923</v>
      </c>
      <c r="R115" s="3">
        <v>7.2698110370242501E-3</v>
      </c>
      <c r="S115" s="33">
        <v>6.3619496879427528E-2</v>
      </c>
      <c r="T115" s="5">
        <v>60.7</v>
      </c>
      <c r="U115" s="34">
        <v>8.6409499999999997E-3</v>
      </c>
      <c r="V115">
        <v>7.7932499999999996</v>
      </c>
    </row>
    <row r="116" spans="1:22" s="2" customFormat="1" x14ac:dyDescent="0.2">
      <c r="A116" s="2" t="s">
        <v>38</v>
      </c>
      <c r="B116" s="5">
        <v>2018</v>
      </c>
      <c r="C116" s="8">
        <v>5.8228376247231575</v>
      </c>
      <c r="D116" s="4">
        <v>0.75922546733977403</v>
      </c>
      <c r="E116" s="6">
        <v>5.9973308434151783E-3</v>
      </c>
      <c r="F116" s="11">
        <v>0.97330000000000005</v>
      </c>
      <c r="G116" s="8">
        <v>109425.98299999999</v>
      </c>
      <c r="H116" s="7">
        <v>-12.645516951922167</v>
      </c>
      <c r="I116" s="4">
        <v>7753.0910341499994</v>
      </c>
      <c r="J116" s="11">
        <v>2.3807</v>
      </c>
      <c r="K116" s="11">
        <v>46.658099999999997</v>
      </c>
      <c r="L116" s="7">
        <v>1</v>
      </c>
      <c r="M116" s="8">
        <v>56.667299999999997</v>
      </c>
      <c r="N116" s="8">
        <v>10.288790071569645</v>
      </c>
      <c r="O116" s="8">
        <v>6.9976988356858973E-3</v>
      </c>
      <c r="P116" s="8">
        <v>6.6963856185395923E-2</v>
      </c>
      <c r="Q116" s="8">
        <v>0.89287286643418662</v>
      </c>
      <c r="R116" s="3">
        <v>7.4264023796586972E-3</v>
      </c>
      <c r="S116" s="33">
        <v>5.994545160322088E-2</v>
      </c>
      <c r="T116" s="5">
        <v>57.6</v>
      </c>
      <c r="U116" s="34">
        <v>1.4011116666666665E-2</v>
      </c>
      <c r="V116">
        <v>7.8384999999999998</v>
      </c>
    </row>
    <row r="117" spans="1:22" s="2" customFormat="1" x14ac:dyDescent="0.2">
      <c r="A117" s="2" t="s">
        <v>38</v>
      </c>
      <c r="B117" s="5">
        <v>2019</v>
      </c>
      <c r="C117" s="8">
        <v>5.0738896041960997</v>
      </c>
      <c r="D117" s="4">
        <v>-0.21710588017988958</v>
      </c>
      <c r="E117" s="6">
        <v>1.5417387589007438E-2</v>
      </c>
      <c r="F117" s="11">
        <v>0.94810000000000005</v>
      </c>
      <c r="G117" s="8">
        <v>138265.179</v>
      </c>
      <c r="H117" s="7">
        <v>26.354980059900413</v>
      </c>
      <c r="I117" s="4">
        <v>8574.788163199999</v>
      </c>
      <c r="J117" s="11">
        <v>2.4626999999999999</v>
      </c>
      <c r="K117" s="11">
        <v>53.183900000000001</v>
      </c>
      <c r="L117" s="7">
        <v>1</v>
      </c>
      <c r="M117" s="8">
        <v>47.869100000000003</v>
      </c>
      <c r="N117" s="8">
        <v>10.349749950859399</v>
      </c>
      <c r="O117" s="8">
        <v>7.3331317016045268E-3</v>
      </c>
      <c r="P117" s="8">
        <v>0.10035254138367804</v>
      </c>
      <c r="Q117" s="8">
        <v>1.5787293124311932</v>
      </c>
      <c r="R117" s="3">
        <v>7.4105411831630998E-3</v>
      </c>
      <c r="S117" s="33">
        <v>3.714056185031663E-3</v>
      </c>
      <c r="T117" s="5">
        <v>57.9</v>
      </c>
      <c r="U117" s="34">
        <v>4.1567483333333342E-2</v>
      </c>
      <c r="V117">
        <v>7.8359166666666704</v>
      </c>
    </row>
    <row r="118" spans="1:22" s="2" customFormat="1" x14ac:dyDescent="0.2">
      <c r="A118" s="2" t="s">
        <v>38</v>
      </c>
      <c r="B118" s="5">
        <v>2020</v>
      </c>
      <c r="C118" s="8">
        <v>3.4761325645273224</v>
      </c>
      <c r="D118" s="4">
        <v>-5.347997187718817E-2</v>
      </c>
      <c r="E118" s="6">
        <v>1.9904182925092936E-2</v>
      </c>
      <c r="F118" s="11">
        <v>0.93020000000000003</v>
      </c>
      <c r="G118" s="8">
        <v>121217.364</v>
      </c>
      <c r="H118" s="7">
        <v>-12.329796354583248</v>
      </c>
      <c r="I118" s="4">
        <v>13121.707084199999</v>
      </c>
      <c r="J118" s="11">
        <v>2.1434000000000002</v>
      </c>
      <c r="K118" s="11">
        <v>54.853299999999997</v>
      </c>
      <c r="L118" s="7">
        <v>1</v>
      </c>
      <c r="M118" s="8">
        <v>30.3169</v>
      </c>
      <c r="N118" s="8">
        <v>10.370212468922382</v>
      </c>
      <c r="O118" s="8">
        <v>9.0734933849852834E-3</v>
      </c>
      <c r="P118" s="8">
        <v>7.55841155993415E-2</v>
      </c>
      <c r="Q118" s="8">
        <v>1.4926559993001987</v>
      </c>
      <c r="R118" s="3">
        <v>7.1230694120221873E-3</v>
      </c>
      <c r="S118" s="33">
        <v>-4.9938533014777367E-2</v>
      </c>
      <c r="T118" s="5">
        <v>57.5</v>
      </c>
      <c r="U118" s="34">
        <v>0.25270476666666669</v>
      </c>
      <c r="V118">
        <v>7.75725</v>
      </c>
    </row>
    <row r="119" spans="1:22" s="2" customFormat="1" x14ac:dyDescent="0.2">
      <c r="A119" s="2" t="s">
        <v>38</v>
      </c>
      <c r="B119" s="5">
        <v>2021</v>
      </c>
      <c r="C119" s="8">
        <v>3.7841791318543367</v>
      </c>
      <c r="D119" s="4">
        <v>-0.53108253908939063</v>
      </c>
      <c r="E119" s="6">
        <v>2.5451186699266746E-2</v>
      </c>
      <c r="F119" s="11">
        <v>0.91749999999999998</v>
      </c>
      <c r="G119" s="8">
        <v>137470.76699999999</v>
      </c>
      <c r="H119" s="7">
        <v>13.4084775181219</v>
      </c>
      <c r="I119" s="4">
        <v>10917.086910079999</v>
      </c>
      <c r="J119" s="11">
        <v>2.2113999999999998</v>
      </c>
      <c r="K119" s="11">
        <v>56.064100000000003</v>
      </c>
      <c r="L119" s="7">
        <v>1</v>
      </c>
      <c r="M119" s="8">
        <v>23.8339</v>
      </c>
      <c r="N119" s="8">
        <v>10.371321429571081</v>
      </c>
      <c r="O119" s="8">
        <v>9.4492718940709444E-3</v>
      </c>
      <c r="P119" s="8">
        <v>6.443355863123465E-2</v>
      </c>
      <c r="Q119" s="8">
        <v>0.61474832551549952</v>
      </c>
      <c r="R119" s="3">
        <v>7.3285325847840107E-3</v>
      </c>
      <c r="S119" s="33">
        <v>6.9484604300285288E-2</v>
      </c>
      <c r="T119" s="5">
        <v>58.8</v>
      </c>
      <c r="U119" s="34">
        <v>0.30359063333333336</v>
      </c>
      <c r="V119">
        <v>7.77325</v>
      </c>
    </row>
    <row r="120" spans="1:22" s="2" customFormat="1" x14ac:dyDescent="0.2">
      <c r="A120" s="2" t="s">
        <v>38</v>
      </c>
      <c r="B120" s="5">
        <v>2022</v>
      </c>
      <c r="C120" s="8">
        <v>3.6424611341295674</v>
      </c>
      <c r="D120" s="4">
        <v>-0.86900005095494259</v>
      </c>
      <c r="E120" s="6">
        <v>2.4101987872061432E-2</v>
      </c>
      <c r="F120" s="11">
        <v>0.91259999999999997</v>
      </c>
      <c r="G120" s="8">
        <v>156556.93400000001</v>
      </c>
      <c r="H120" s="7">
        <v>13.883800473740004</v>
      </c>
      <c r="I120" s="4">
        <v>21173.843838469998</v>
      </c>
      <c r="J120" s="11">
        <v>2.4056999999999999</v>
      </c>
      <c r="K120" s="11">
        <v>44.431800000000003</v>
      </c>
      <c r="L120" s="7">
        <v>1</v>
      </c>
      <c r="M120" s="8">
        <v>28.600300000000001</v>
      </c>
      <c r="N120" s="8">
        <v>10.383184050657908</v>
      </c>
      <c r="O120" s="8">
        <v>1.1891567755623033E-2</v>
      </c>
      <c r="P120" s="8">
        <v>7.6292685137604274E-2</v>
      </c>
      <c r="Q120" s="8">
        <v>0.86954292415232315</v>
      </c>
      <c r="R120" s="3">
        <v>6.8716956345371959E-3</v>
      </c>
      <c r="S120" s="33">
        <v>-2.4593410066074222E-2</v>
      </c>
      <c r="T120" s="5">
        <v>62.5</v>
      </c>
      <c r="U120" s="34">
        <v>0.14945029999999998</v>
      </c>
      <c r="V120">
        <v>7.8314166666666702</v>
      </c>
    </row>
    <row r="121" spans="1:22" s="2" customFormat="1" x14ac:dyDescent="0.2">
      <c r="B121" s="5"/>
      <c r="C121" s="8"/>
      <c r="D121" s="4"/>
      <c r="E121" s="6"/>
      <c r="F121" s="11"/>
      <c r="G121" s="8"/>
      <c r="H121" s="7"/>
      <c r="I121" s="4"/>
      <c r="J121" s="11"/>
      <c r="K121" s="11"/>
      <c r="L121" s="7"/>
      <c r="M121" s="8"/>
      <c r="N121" s="8"/>
      <c r="O121" s="8"/>
      <c r="P121" s="8"/>
      <c r="Q121" s="8"/>
      <c r="R121" s="3"/>
      <c r="S121" s="33"/>
      <c r="T121" s="5"/>
      <c r="U121" s="34"/>
      <c r="V121"/>
    </row>
    <row r="122" spans="1:22" s="2" customFormat="1" x14ac:dyDescent="0.2">
      <c r="A122" s="2" t="s">
        <v>96</v>
      </c>
      <c r="B122" s="5">
        <v>2014</v>
      </c>
      <c r="C122" s="24">
        <v>6.6859253318356355</v>
      </c>
      <c r="D122" s="25">
        <v>-0.20119852692719997</v>
      </c>
      <c r="E122" s="16"/>
      <c r="F122" s="26">
        <v>1.0298</v>
      </c>
      <c r="G122" s="29">
        <v>78962.627999999997</v>
      </c>
      <c r="H122" s="7">
        <v>-5.030424852989678</v>
      </c>
      <c r="I122" s="4">
        <v>96558.357213439987</v>
      </c>
      <c r="J122" s="26">
        <v>1.7208000000000001</v>
      </c>
      <c r="K122" s="26">
        <v>39.924999999999997</v>
      </c>
      <c r="L122" s="7">
        <v>1</v>
      </c>
      <c r="M122" s="26">
        <v>144.39519999999999</v>
      </c>
      <c r="N122" s="24">
        <v>12.621094174575948</v>
      </c>
      <c r="O122" s="24">
        <v>1.090167608665121E-2</v>
      </c>
      <c r="P122" s="24">
        <v>1.1422789593839206E-2</v>
      </c>
      <c r="Q122" s="24">
        <v>0.61719752885641443</v>
      </c>
      <c r="R122" s="3">
        <v>8.5460602836576315E-3</v>
      </c>
      <c r="S122" s="33">
        <v>5.7175487891084675E-2</v>
      </c>
      <c r="T122" s="5">
        <v>61.4</v>
      </c>
      <c r="U122" s="34">
        <v>7.7804516666666657E-2</v>
      </c>
      <c r="V122">
        <v>7.7540833333333303</v>
      </c>
    </row>
    <row r="123" spans="1:22" s="2" customFormat="1" x14ac:dyDescent="0.2">
      <c r="A123" s="2" t="s">
        <v>96</v>
      </c>
      <c r="B123" s="5">
        <v>2015</v>
      </c>
      <c r="C123" s="24">
        <v>6.4331647755393488</v>
      </c>
      <c r="D123" s="25">
        <v>1.0345868671029599</v>
      </c>
      <c r="E123" s="16"/>
      <c r="F123" s="26">
        <v>1.0067999999999999</v>
      </c>
      <c r="G123" s="29">
        <v>115221.781</v>
      </c>
      <c r="H123" s="7">
        <v>45.919384800617337</v>
      </c>
      <c r="I123" s="4">
        <v>138938.46084186004</v>
      </c>
      <c r="J123" s="26">
        <v>1.7017</v>
      </c>
      <c r="K123" s="26">
        <v>44.040300000000002</v>
      </c>
      <c r="L123" s="7">
        <v>1</v>
      </c>
      <c r="M123" s="26">
        <v>95.728800000000007</v>
      </c>
      <c r="N123" s="24">
        <v>12.525775629098737</v>
      </c>
      <c r="O123" s="24">
        <v>1.1613528693169207E-2</v>
      </c>
      <c r="P123" s="24">
        <v>6.6047099955452247E-3</v>
      </c>
      <c r="Q123" s="24">
        <v>0.73723463003254375</v>
      </c>
      <c r="R123" s="3">
        <v>8.5539728727091272E-3</v>
      </c>
      <c r="S123" s="33">
        <v>6.1502916934285043E-2</v>
      </c>
      <c r="T123" s="5">
        <v>60.9</v>
      </c>
      <c r="U123" s="34">
        <v>2.9720791666666666E-2</v>
      </c>
      <c r="V123">
        <v>7.7517500000000004</v>
      </c>
    </row>
    <row r="124" spans="1:22" s="2" customFormat="1" x14ac:dyDescent="0.2">
      <c r="A124" s="2" t="s">
        <v>96</v>
      </c>
      <c r="B124" s="5">
        <v>2016</v>
      </c>
      <c r="C124" s="24">
        <v>5.7396243967290079</v>
      </c>
      <c r="D124" s="25">
        <v>1.1593440477905528</v>
      </c>
      <c r="E124" s="16"/>
      <c r="F124" s="26">
        <v>1.0032000000000001</v>
      </c>
      <c r="G124" s="29">
        <v>309991.50599999999</v>
      </c>
      <c r="H124" s="7">
        <v>169.03898144049688</v>
      </c>
      <c r="I124" s="4">
        <v>192363.10284519999</v>
      </c>
      <c r="J124" s="26">
        <v>1.7017</v>
      </c>
      <c r="K124" s="26">
        <v>46.587800000000001</v>
      </c>
      <c r="L124" s="7">
        <v>1</v>
      </c>
      <c r="M124" s="26">
        <v>77.410200000000003</v>
      </c>
      <c r="N124" s="24">
        <v>12.554274177092516</v>
      </c>
      <c r="O124" s="24">
        <v>1.508957532272719E-2</v>
      </c>
      <c r="P124" s="24">
        <v>8.1464502600428566E-3</v>
      </c>
      <c r="Q124" s="24">
        <v>0.85496387749837666</v>
      </c>
      <c r="R124" s="3">
        <v>8.4192711648573559E-3</v>
      </c>
      <c r="S124" s="33">
        <v>3.7088649642907798E-2</v>
      </c>
      <c r="T124" s="5">
        <v>61.6</v>
      </c>
      <c r="U124" s="34">
        <v>9.6016116666666665E-2</v>
      </c>
      <c r="V124">
        <v>7.7622499999999999</v>
      </c>
    </row>
    <row r="125" spans="1:22" s="2" customFormat="1" x14ac:dyDescent="0.2">
      <c r="A125" s="2" t="s">
        <v>96</v>
      </c>
      <c r="B125" s="5">
        <v>2017</v>
      </c>
      <c r="C125" s="24">
        <v>6.1274997088495367</v>
      </c>
      <c r="D125" s="25">
        <v>1.7033107020597142</v>
      </c>
      <c r="E125" s="16"/>
      <c r="F125" s="26">
        <v>1.0286</v>
      </c>
      <c r="G125" s="4">
        <v>477899</v>
      </c>
      <c r="H125" s="7">
        <v>54.165191868192672</v>
      </c>
      <c r="I125" s="4">
        <v>255507.97929399999</v>
      </c>
      <c r="J125" s="26">
        <v>1.6726000000000001</v>
      </c>
      <c r="K125" s="26">
        <v>44.045099999999998</v>
      </c>
      <c r="L125" s="7">
        <v>1</v>
      </c>
      <c r="M125" s="26">
        <v>95.0381</v>
      </c>
      <c r="N125" s="24">
        <v>12.732841465914639</v>
      </c>
      <c r="O125" s="24">
        <v>1.3398390931626132E-2</v>
      </c>
      <c r="P125" s="24">
        <v>9.9146441816408692E-3</v>
      </c>
      <c r="Q125" s="24">
        <v>0.7844816360220408</v>
      </c>
      <c r="R125" s="3">
        <v>8.3669164072881393E-3</v>
      </c>
      <c r="S125" s="33">
        <v>6.3619496879427528E-2</v>
      </c>
      <c r="T125" s="5">
        <v>60.7</v>
      </c>
      <c r="U125" s="34">
        <v>8.6409499999999997E-3</v>
      </c>
      <c r="V125">
        <v>7.7932499999999996</v>
      </c>
    </row>
    <row r="126" spans="1:22" s="2" customFormat="1" x14ac:dyDescent="0.2">
      <c r="A126" s="2" t="s">
        <v>96</v>
      </c>
      <c r="B126" s="5">
        <v>2018</v>
      </c>
      <c r="C126" s="24">
        <v>6.3593954624044073</v>
      </c>
      <c r="D126" s="25">
        <v>1.5528547451556853</v>
      </c>
      <c r="E126" s="16"/>
      <c r="F126" s="26">
        <v>1.0124</v>
      </c>
      <c r="G126" s="4">
        <v>523728</v>
      </c>
      <c r="H126" s="7">
        <v>9.5896831757337839</v>
      </c>
      <c r="I126" s="4">
        <v>281589.17127583997</v>
      </c>
      <c r="J126" s="26">
        <v>1.7323999999999999</v>
      </c>
      <c r="K126" s="26">
        <v>44.296100000000003</v>
      </c>
      <c r="L126" s="7">
        <v>1</v>
      </c>
      <c r="M126" s="26">
        <v>87.225300000000004</v>
      </c>
      <c r="N126" s="24">
        <v>12.74555842787842</v>
      </c>
      <c r="O126" s="24">
        <v>9.7461344421810505E-3</v>
      </c>
      <c r="P126" s="24">
        <v>1.0885289809960636E-2</v>
      </c>
      <c r="Q126" s="24">
        <v>1.0122075202232235</v>
      </c>
      <c r="R126" s="3">
        <v>8.7235735667015226E-3</v>
      </c>
      <c r="S126" s="33">
        <v>5.994545160322088E-2</v>
      </c>
      <c r="T126" s="5">
        <v>57.6</v>
      </c>
      <c r="U126" s="34">
        <v>1.4011116666666665E-2</v>
      </c>
      <c r="V126">
        <v>7.8384999999999998</v>
      </c>
    </row>
    <row r="127" spans="1:22" s="2" customFormat="1" x14ac:dyDescent="0.2">
      <c r="A127" s="2" t="s">
        <v>96</v>
      </c>
      <c r="B127" s="5">
        <v>2019</v>
      </c>
      <c r="C127" s="24">
        <v>6.6273099638138424</v>
      </c>
      <c r="D127" s="25">
        <v>0.53974733408490705</v>
      </c>
      <c r="E127" s="16"/>
      <c r="F127" s="26">
        <v>1.0024</v>
      </c>
      <c r="G127" s="4">
        <v>788443</v>
      </c>
      <c r="H127" s="7">
        <v>50.54436654141081</v>
      </c>
      <c r="I127" s="4">
        <v>285448.18193213997</v>
      </c>
      <c r="J127" s="26">
        <v>1.7975000000000001</v>
      </c>
      <c r="K127" s="26">
        <v>43.621400000000001</v>
      </c>
      <c r="L127" s="7">
        <v>1</v>
      </c>
      <c r="M127" s="26">
        <v>78.043099999999995</v>
      </c>
      <c r="N127" s="24">
        <v>12.80950821647879</v>
      </c>
      <c r="O127" s="24">
        <v>1.0304490036351924E-2</v>
      </c>
      <c r="P127" s="24">
        <v>4.3835251883336847E-3</v>
      </c>
      <c r="Q127" s="24">
        <v>1.1017661357600075</v>
      </c>
      <c r="R127" s="3">
        <v>8.7426957827579713E-3</v>
      </c>
      <c r="S127" s="33">
        <v>3.714056185031663E-3</v>
      </c>
      <c r="T127" s="5">
        <v>57.9</v>
      </c>
      <c r="U127" s="34">
        <v>4.1567483333333342E-2</v>
      </c>
      <c r="V127">
        <v>7.8359166666666704</v>
      </c>
    </row>
    <row r="128" spans="1:22" s="2" customFormat="1" x14ac:dyDescent="0.2">
      <c r="A128" s="2" t="s">
        <v>96</v>
      </c>
      <c r="B128" s="5">
        <v>2020</v>
      </c>
      <c r="C128" s="24">
        <v>4.7946550173365452</v>
      </c>
      <c r="D128" s="25">
        <v>0.33680323149909386</v>
      </c>
      <c r="E128" s="16"/>
      <c r="F128" s="26">
        <v>0.99119999999999997</v>
      </c>
      <c r="G128" s="4">
        <v>780770</v>
      </c>
      <c r="H128" s="7">
        <v>-0.97318385729849832</v>
      </c>
      <c r="I128" s="4">
        <v>296468.67740842002</v>
      </c>
      <c r="J128" s="26">
        <v>1.6357999999999999</v>
      </c>
      <c r="K128" s="26">
        <v>45.990699999999997</v>
      </c>
      <c r="L128" s="7">
        <v>1</v>
      </c>
      <c r="M128" s="26">
        <v>66.865300000000005</v>
      </c>
      <c r="N128" s="24">
        <v>12.885647090328209</v>
      </c>
      <c r="O128" s="24">
        <v>1.3852716559920436E-2</v>
      </c>
      <c r="P128" s="24">
        <v>5.3532488696164462E-3</v>
      </c>
      <c r="Q128" s="24">
        <v>0.89417392039500898</v>
      </c>
      <c r="R128" s="3">
        <v>8.4863166759808761E-3</v>
      </c>
      <c r="S128" s="33">
        <v>-4.9938533014777367E-2</v>
      </c>
      <c r="T128" s="5">
        <v>57.5</v>
      </c>
      <c r="U128" s="34">
        <v>0.25270476666666669</v>
      </c>
      <c r="V128">
        <v>7.75725</v>
      </c>
    </row>
    <row r="129" spans="1:22" s="2" customFormat="1" x14ac:dyDescent="0.2">
      <c r="A129" s="2" t="s">
        <v>96</v>
      </c>
      <c r="B129" s="5">
        <v>2021</v>
      </c>
      <c r="C129" s="24">
        <v>6.0299303407096136</v>
      </c>
      <c r="D129" s="25">
        <v>0.99834248172245998</v>
      </c>
      <c r="E129" s="16"/>
      <c r="F129" s="26">
        <v>0.99729999999999996</v>
      </c>
      <c r="G129" s="4">
        <v>1125957</v>
      </c>
      <c r="H129" s="7">
        <v>44.211099299409554</v>
      </c>
      <c r="I129" s="4">
        <v>312775.43322298001</v>
      </c>
      <c r="J129" s="26">
        <v>1.5718000000000001</v>
      </c>
      <c r="K129" s="26">
        <v>47.093200000000003</v>
      </c>
      <c r="L129" s="7">
        <v>1</v>
      </c>
      <c r="M129" s="26">
        <v>52.6004</v>
      </c>
      <c r="N129" s="24">
        <v>12.905041006843309</v>
      </c>
      <c r="O129" s="24">
        <v>1.1856438919257155E-2</v>
      </c>
      <c r="P129" s="24">
        <v>9.2514160936532572E-3</v>
      </c>
      <c r="Q129" s="24">
        <v>0.32331135789878779</v>
      </c>
      <c r="R129" s="3">
        <v>8.4614581575816854E-3</v>
      </c>
      <c r="S129" s="33">
        <v>6.9484604300285288E-2</v>
      </c>
      <c r="T129" s="5">
        <v>58.8</v>
      </c>
      <c r="U129" s="34">
        <v>0.30359063333333336</v>
      </c>
      <c r="V129">
        <v>7.77325</v>
      </c>
    </row>
    <row r="130" spans="1:22" s="2" customFormat="1" x14ac:dyDescent="0.2">
      <c r="A130" s="2" t="s">
        <v>96</v>
      </c>
      <c r="B130" s="5">
        <v>2022</v>
      </c>
      <c r="C130" s="24">
        <v>6.7854207982379648</v>
      </c>
      <c r="D130" s="25">
        <v>1.2163722519571492</v>
      </c>
      <c r="E130" s="16"/>
      <c r="F130" s="26">
        <v>1.0029999999999999</v>
      </c>
      <c r="G130" s="4">
        <v>1262313</v>
      </c>
      <c r="H130" s="7">
        <v>12.110231563017059</v>
      </c>
      <c r="I130" s="4">
        <v>252670.21299395998</v>
      </c>
      <c r="J130" s="26">
        <v>1.9454</v>
      </c>
      <c r="K130" s="26">
        <v>45.301900000000003</v>
      </c>
      <c r="L130" s="7">
        <v>1</v>
      </c>
      <c r="M130" s="26">
        <v>58.901000000000003</v>
      </c>
      <c r="N130" s="24">
        <v>12.943690421483614</v>
      </c>
      <c r="O130" s="24">
        <v>1.1909281979230146E-2</v>
      </c>
      <c r="P130" s="24">
        <v>9.418925313248748E-3</v>
      </c>
      <c r="Q130" s="24">
        <v>0.65458814741187865</v>
      </c>
      <c r="R130" s="3">
        <v>8.4260468072922118E-3</v>
      </c>
      <c r="S130" s="33">
        <v>-2.4593410066074222E-2</v>
      </c>
      <c r="T130" s="5">
        <v>62.5</v>
      </c>
      <c r="U130" s="34">
        <v>0.14945029999999998</v>
      </c>
      <c r="V130">
        <v>7.8314166666666702</v>
      </c>
    </row>
    <row r="131" spans="1:22" s="2" customFormat="1" x14ac:dyDescent="0.2">
      <c r="B131" s="5"/>
      <c r="C131" s="24"/>
      <c r="D131" s="25"/>
      <c r="E131" s="16"/>
      <c r="F131" s="26"/>
      <c r="G131" s="4"/>
      <c r="H131" s="7"/>
      <c r="I131" s="4"/>
      <c r="J131" s="26"/>
      <c r="K131" s="26"/>
      <c r="L131" s="7"/>
      <c r="M131" s="26"/>
      <c r="N131" s="24"/>
      <c r="O131" s="24"/>
      <c r="P131" s="24"/>
      <c r="Q131" s="24"/>
      <c r="R131" s="3"/>
      <c r="S131" s="33"/>
      <c r="T131" s="5"/>
      <c r="U131" s="34"/>
      <c r="V131"/>
    </row>
    <row r="132" spans="1:22" s="2" customFormat="1" x14ac:dyDescent="0.2">
      <c r="A132" s="2" t="s">
        <v>54</v>
      </c>
      <c r="B132" s="5">
        <v>2014</v>
      </c>
      <c r="C132" s="12">
        <v>6.7837874020175644</v>
      </c>
      <c r="D132" s="4">
        <v>0.64089932358707535</v>
      </c>
      <c r="E132" s="6">
        <v>9.500390245481348E-3</v>
      </c>
      <c r="F132" s="11">
        <v>0.96440000000000003</v>
      </c>
      <c r="G132" s="8">
        <v>9856117</v>
      </c>
      <c r="H132" s="7">
        <v>-1.3363249113320663</v>
      </c>
      <c r="I132" s="4">
        <v>135109.82867116999</v>
      </c>
      <c r="J132" s="11">
        <v>1.1216999999999999</v>
      </c>
      <c r="K132" s="11">
        <v>58.716700000000003</v>
      </c>
      <c r="L132" s="7">
        <v>1</v>
      </c>
      <c r="M132" s="8">
        <v>46.0854</v>
      </c>
      <c r="N132" s="8">
        <v>11.206635316501709</v>
      </c>
      <c r="O132" s="8">
        <v>1.5173139036680473E-2</v>
      </c>
      <c r="P132" s="8">
        <v>6.0516442012517255E-2</v>
      </c>
      <c r="Q132" s="8">
        <v>0.19342802950146532</v>
      </c>
      <c r="R132" s="3">
        <v>6.7703015894532582E-3</v>
      </c>
      <c r="S132" s="33">
        <v>-6.0497682581134235E-2</v>
      </c>
      <c r="T132" s="5">
        <v>43</v>
      </c>
      <c r="U132" s="34">
        <v>0.10612881666666664</v>
      </c>
      <c r="V132">
        <v>105.944781034025</v>
      </c>
    </row>
    <row r="133" spans="1:22" s="2" customFormat="1" x14ac:dyDescent="0.2">
      <c r="A133" s="2" t="s">
        <v>54</v>
      </c>
      <c r="B133" s="5">
        <v>2015</v>
      </c>
      <c r="C133" s="12">
        <v>6.7725851743348588</v>
      </c>
      <c r="D133" s="4">
        <v>-0.21901290283154717</v>
      </c>
      <c r="E133" s="6">
        <v>1.9670774795512037E-2</v>
      </c>
      <c r="F133" s="11">
        <v>0.97040000000000004</v>
      </c>
      <c r="G133" s="8">
        <v>9100437.8356051221</v>
      </c>
      <c r="H133" s="7">
        <v>-7.6671082982768759</v>
      </c>
      <c r="I133" s="4">
        <v>101002.02690630002</v>
      </c>
      <c r="J133" s="11">
        <v>0.87829999999999997</v>
      </c>
      <c r="K133" s="11">
        <v>59.841999999999999</v>
      </c>
      <c r="L133" s="7">
        <v>1</v>
      </c>
      <c r="M133" s="8">
        <v>50.990900000000003</v>
      </c>
      <c r="N133" s="8">
        <v>11.109661018628712</v>
      </c>
      <c r="O133" s="8">
        <v>1.2913212643977136E-2</v>
      </c>
      <c r="P133" s="8">
        <v>3.9956705562490667E-2</v>
      </c>
      <c r="Q133" s="8">
        <v>0.21008102484166216</v>
      </c>
      <c r="R133" s="3">
        <v>6.7681494911343357E-3</v>
      </c>
      <c r="S133" s="33">
        <v>-9.2314533358446485E-2</v>
      </c>
      <c r="T133" s="5">
        <v>44.8</v>
      </c>
      <c r="U133" s="34">
        <v>0.16251885833333332</v>
      </c>
      <c r="V133">
        <v>121.044025684011</v>
      </c>
    </row>
    <row r="134" spans="1:22" s="2" customFormat="1" x14ac:dyDescent="0.2">
      <c r="A134" s="2" t="s">
        <v>54</v>
      </c>
      <c r="B134" s="5">
        <v>2016</v>
      </c>
      <c r="C134" s="12">
        <v>7.11345582507884</v>
      </c>
      <c r="D134" s="4">
        <v>1.613386476094939</v>
      </c>
      <c r="E134" s="6">
        <v>9.0590207615278955E-3</v>
      </c>
      <c r="F134" s="11">
        <v>0.94910000000000005</v>
      </c>
      <c r="G134" s="8">
        <v>12901017</v>
      </c>
      <c r="H134" s="7">
        <v>41.762596844794153</v>
      </c>
      <c r="I134" s="4">
        <v>98150.00502715999</v>
      </c>
      <c r="J134" s="11">
        <v>0.92400000000000004</v>
      </c>
      <c r="K134" s="11">
        <v>59.518700000000003</v>
      </c>
      <c r="L134" s="7">
        <v>1</v>
      </c>
      <c r="M134" s="8">
        <v>65.203299999999999</v>
      </c>
      <c r="N134" s="8">
        <v>11.193333175439983</v>
      </c>
      <c r="O134" s="8">
        <v>1.0968173425864447E-2</v>
      </c>
      <c r="P134" s="8">
        <v>5.183982533156295E-2</v>
      </c>
      <c r="Q134" s="8">
        <v>0.24834268242971783</v>
      </c>
      <c r="R134" s="3">
        <v>6.8844667236238853E-3</v>
      </c>
      <c r="S134" s="33">
        <v>0.12570431786897612</v>
      </c>
      <c r="T134" s="5">
        <v>44.6</v>
      </c>
      <c r="U134" s="34">
        <v>0.17348815833333334</v>
      </c>
      <c r="V134">
        <v>108.79290004683401</v>
      </c>
    </row>
    <row r="135" spans="1:22" s="2" customFormat="1" x14ac:dyDescent="0.2">
      <c r="A135" s="2" t="s">
        <v>54</v>
      </c>
      <c r="B135" s="5">
        <v>2017</v>
      </c>
      <c r="C135" s="12">
        <v>6.1863350183484718</v>
      </c>
      <c r="D135" s="4">
        <v>1.0799925254521503</v>
      </c>
      <c r="E135" s="6">
        <v>2.5622276254432829E-3</v>
      </c>
      <c r="F135" s="11">
        <v>0.95420000000000005</v>
      </c>
      <c r="G135" s="8">
        <v>13917054</v>
      </c>
      <c r="H135" s="7">
        <v>7.8756349208748428</v>
      </c>
      <c r="I135" s="4">
        <v>86147.060888119988</v>
      </c>
      <c r="J135" s="11">
        <v>0.94350000000000001</v>
      </c>
      <c r="K135" s="11">
        <v>64.622</v>
      </c>
      <c r="L135" s="7">
        <v>1</v>
      </c>
      <c r="M135" s="8">
        <v>113.133</v>
      </c>
      <c r="N135" s="8">
        <v>11.266956683795712</v>
      </c>
      <c r="O135" s="8">
        <v>9.456728126457396E-3</v>
      </c>
      <c r="P135" s="8">
        <v>9.8858817777432065E-2</v>
      </c>
      <c r="Q135" s="8">
        <v>0.29312531289178329</v>
      </c>
      <c r="R135" s="3">
        <v>7.0924911371868056E-3</v>
      </c>
      <c r="S135" s="33">
        <v>-1.4557344380430779E-2</v>
      </c>
      <c r="T135" s="5">
        <v>44</v>
      </c>
      <c r="U135" s="34">
        <v>6.9751091666666667E-2</v>
      </c>
      <c r="V135">
        <v>112.166141081871</v>
      </c>
    </row>
    <row r="136" spans="1:22" s="2" customFormat="1" x14ac:dyDescent="0.2">
      <c r="A136" s="2" t="s">
        <v>54</v>
      </c>
      <c r="B136" s="5">
        <v>2018</v>
      </c>
      <c r="C136" s="12">
        <v>5.7681209911761071</v>
      </c>
      <c r="D136" s="4">
        <v>0.24429007473243369</v>
      </c>
      <c r="E136" s="6">
        <v>1.4569202464189676E-2</v>
      </c>
      <c r="F136" s="11">
        <v>0.95040000000000002</v>
      </c>
      <c r="G136" s="8">
        <v>13013525</v>
      </c>
      <c r="H136" s="7">
        <v>-6.4922432578044171</v>
      </c>
      <c r="I136" s="4">
        <v>81662.269549680001</v>
      </c>
      <c r="J136" s="11">
        <v>0.90959999999999996</v>
      </c>
      <c r="K136" s="11">
        <v>61.439300000000003</v>
      </c>
      <c r="L136" s="7">
        <v>1</v>
      </c>
      <c r="M136" s="8">
        <v>156.14060000000001</v>
      </c>
      <c r="N136" s="8">
        <v>11.380984436759833</v>
      </c>
      <c r="O136" s="8">
        <v>8.8913684761208495E-3</v>
      </c>
      <c r="P136" s="8">
        <v>0.14285596334673156</v>
      </c>
      <c r="Q136" s="8">
        <v>0.21452652161693342</v>
      </c>
      <c r="R136" s="3">
        <v>7.131375601954767E-3</v>
      </c>
      <c r="S136" s="33">
        <v>2.2317420335519114E-2</v>
      </c>
      <c r="T136" s="5">
        <v>45.2</v>
      </c>
      <c r="U136" s="34">
        <v>9.823383333333334E-2</v>
      </c>
      <c r="V136">
        <v>110.42317934106001</v>
      </c>
    </row>
    <row r="137" spans="1:22" s="2" customFormat="1" x14ac:dyDescent="0.2">
      <c r="A137" s="2" t="s">
        <v>54</v>
      </c>
      <c r="B137" s="5">
        <v>2019</v>
      </c>
      <c r="C137" s="12">
        <v>4.6852651568090273</v>
      </c>
      <c r="D137" s="4">
        <v>1.3600126535496826</v>
      </c>
      <c r="E137" s="6">
        <v>2.0763064107047579E-3</v>
      </c>
      <c r="F137" s="11">
        <v>0.95130000000000003</v>
      </c>
      <c r="G137" s="8">
        <v>13157933</v>
      </c>
      <c r="H137" s="7">
        <v>1.1096762791019343</v>
      </c>
      <c r="I137" s="4">
        <v>68604.402292910003</v>
      </c>
      <c r="J137" s="11">
        <v>0.79730000000000001</v>
      </c>
      <c r="K137" s="11">
        <v>63.921300000000002</v>
      </c>
      <c r="L137" s="7">
        <v>1</v>
      </c>
      <c r="M137" s="8">
        <v>289.88709999999998</v>
      </c>
      <c r="N137" s="8">
        <v>11.454803244347115</v>
      </c>
      <c r="O137" s="8">
        <v>7.8034535216972558E-3</v>
      </c>
      <c r="P137" s="8">
        <v>0.18673475893578259</v>
      </c>
      <c r="Q137" s="8">
        <v>0.34157985831017651</v>
      </c>
      <c r="R137" s="3">
        <v>7.2890336165769391E-3</v>
      </c>
      <c r="S137" s="33">
        <v>1.5297507443604967E-2</v>
      </c>
      <c r="T137" s="5">
        <v>45.2</v>
      </c>
      <c r="U137" s="34">
        <v>0.16861495833333337</v>
      </c>
      <c r="V137">
        <v>109.009665900863</v>
      </c>
    </row>
    <row r="138" spans="1:22" s="2" customFormat="1" x14ac:dyDescent="0.2">
      <c r="A138" s="2" t="s">
        <v>54</v>
      </c>
      <c r="B138" s="5">
        <v>2020</v>
      </c>
      <c r="C138" s="4">
        <v>4.3992693738587674</v>
      </c>
      <c r="D138" s="4">
        <v>0.73447320016524364</v>
      </c>
      <c r="E138" s="13">
        <v>1.4427369142107627E-2</v>
      </c>
      <c r="F138" s="4">
        <v>0.9476</v>
      </c>
      <c r="G138" s="4">
        <v>13296297</v>
      </c>
      <c r="H138" s="7">
        <v>1.0515633420538013</v>
      </c>
      <c r="I138" s="4">
        <v>72462.247226390013</v>
      </c>
      <c r="J138" s="4">
        <v>0.76780000000000004</v>
      </c>
      <c r="K138" s="4">
        <v>65.084999999999994</v>
      </c>
      <c r="L138" s="7">
        <v>1</v>
      </c>
      <c r="M138" s="4">
        <v>301.03680000000003</v>
      </c>
      <c r="N138" s="4">
        <v>11.483984713326059</v>
      </c>
      <c r="O138" s="4">
        <v>6.935949444749092E-3</v>
      </c>
      <c r="P138" s="7">
        <v>0.15427280273097491</v>
      </c>
      <c r="Q138" s="4">
        <v>0.38138227432628957</v>
      </c>
      <c r="R138" s="3">
        <v>7.48670069014243E-3</v>
      </c>
      <c r="S138" s="33">
        <v>-1.3521754698139338E-2</v>
      </c>
      <c r="T138" s="5">
        <v>45.4</v>
      </c>
      <c r="U138" s="34">
        <v>0.19133301666666666</v>
      </c>
      <c r="V138">
        <v>106.77458226243699</v>
      </c>
    </row>
    <row r="139" spans="1:22" s="2" customFormat="1" x14ac:dyDescent="0.2">
      <c r="A139" s="2" t="s">
        <v>54</v>
      </c>
      <c r="B139" s="5">
        <v>2021</v>
      </c>
      <c r="C139" s="4">
        <v>4.2455049681957151</v>
      </c>
      <c r="D139" s="4">
        <v>-3.5279662451151532</v>
      </c>
      <c r="E139" s="13">
        <v>5.1507073990062713E-2</v>
      </c>
      <c r="F139" s="4">
        <v>0.94169999999999998</v>
      </c>
      <c r="G139" s="4">
        <v>16833420</v>
      </c>
      <c r="H139" s="7">
        <v>26.60231641937601</v>
      </c>
      <c r="I139" s="4">
        <v>91876.834365961418</v>
      </c>
      <c r="J139" s="4">
        <v>0.78849999999999998</v>
      </c>
      <c r="K139" s="4">
        <v>60.581800000000001</v>
      </c>
      <c r="L139" s="7">
        <v>1</v>
      </c>
      <c r="M139" s="4">
        <v>349.86110000000002</v>
      </c>
      <c r="N139" s="4">
        <v>11.607704399143124</v>
      </c>
      <c r="O139" s="4">
        <v>8.1338747114869971E-3</v>
      </c>
      <c r="P139" s="7">
        <v>0.22372934185222745</v>
      </c>
      <c r="Q139" s="4">
        <v>0.21341255112686852</v>
      </c>
      <c r="R139" s="3">
        <v>7.1536855055851622E-3</v>
      </c>
      <c r="S139" s="33">
        <v>-8.566975901496245E-3</v>
      </c>
      <c r="T139" s="5">
        <v>45.6</v>
      </c>
      <c r="U139" s="34">
        <v>8.6284741666666664E-2</v>
      </c>
      <c r="V139">
        <v>109.754323839417</v>
      </c>
    </row>
    <row r="140" spans="1:22" s="2" customFormat="1" x14ac:dyDescent="0.2">
      <c r="A140" s="2" t="s">
        <v>54</v>
      </c>
      <c r="B140" s="5">
        <v>2022</v>
      </c>
      <c r="C140" s="4">
        <v>4.3216954981969105</v>
      </c>
      <c r="D140" s="4">
        <v>0.72766999057663673</v>
      </c>
      <c r="E140" s="13">
        <v>1.1104194490364691E-2</v>
      </c>
      <c r="F140" s="4">
        <v>0.94679999999999997</v>
      </c>
      <c r="G140" s="4">
        <v>12726423</v>
      </c>
      <c r="H140" s="7">
        <v>-24.397876367369197</v>
      </c>
      <c r="I140" s="4">
        <v>80150.562864612293</v>
      </c>
      <c r="J140" s="4">
        <v>0.71519999999999995</v>
      </c>
      <c r="K140" s="4">
        <v>59.364100000000001</v>
      </c>
      <c r="L140" s="7">
        <v>1</v>
      </c>
      <c r="M140" s="4">
        <v>435.33120000000002</v>
      </c>
      <c r="N140" s="4">
        <v>11.606154147233553</v>
      </c>
      <c r="O140" s="4">
        <v>6.8986847160302702E-3</v>
      </c>
      <c r="P140" s="7">
        <v>0.29952553142195759</v>
      </c>
      <c r="Q140" s="4">
        <v>0.11342682898758751</v>
      </c>
      <c r="R140" s="3">
        <v>7.2862225389472976E-3</v>
      </c>
      <c r="S140" s="33">
        <v>-0.15470779172132842</v>
      </c>
      <c r="T140" s="5">
        <v>46.3</v>
      </c>
      <c r="U140" s="34">
        <v>0.19251043333333331</v>
      </c>
      <c r="V140">
        <v>131.49814044376399</v>
      </c>
    </row>
    <row r="141" spans="1:22" s="2" customFormat="1" x14ac:dyDescent="0.2">
      <c r="B141" s="5"/>
      <c r="C141" s="4"/>
      <c r="D141" s="4"/>
      <c r="E141" s="13"/>
      <c r="F141" s="4"/>
      <c r="G141" s="4"/>
      <c r="H141" s="7"/>
      <c r="I141" s="4"/>
      <c r="J141" s="4"/>
      <c r="K141" s="4"/>
      <c r="L141" s="7"/>
      <c r="M141" s="4"/>
      <c r="N141" s="4"/>
      <c r="O141" s="4"/>
      <c r="P141" s="7"/>
      <c r="Q141" s="4"/>
      <c r="R141" s="3"/>
      <c r="S141" s="33"/>
      <c r="T141" s="5"/>
      <c r="U141" s="34"/>
      <c r="V141"/>
    </row>
    <row r="142" spans="1:22" s="2" customFormat="1" x14ac:dyDescent="0.2">
      <c r="A142" s="2" t="s">
        <v>57</v>
      </c>
      <c r="B142" s="5">
        <v>2014</v>
      </c>
      <c r="C142" s="12">
        <v>2.239502736257116</v>
      </c>
      <c r="D142" s="4">
        <v>-0.26373786343463385</v>
      </c>
      <c r="E142" s="9">
        <v>1.9673237827695481E-2</v>
      </c>
      <c r="F142" s="11">
        <v>0.98460000000000003</v>
      </c>
      <c r="G142" s="8">
        <v>1132.08</v>
      </c>
      <c r="H142" s="7">
        <v>9.2551487193344641</v>
      </c>
      <c r="I142" s="4">
        <v>20392.359381411774</v>
      </c>
      <c r="J142" s="11">
        <v>0.92979999999999996</v>
      </c>
      <c r="K142" s="11">
        <v>72.778700000000001</v>
      </c>
      <c r="L142" s="7">
        <v>1</v>
      </c>
      <c r="M142" s="8">
        <v>30.104299999999999</v>
      </c>
      <c r="N142" s="8">
        <v>10.86372729958134</v>
      </c>
      <c r="O142" s="8">
        <v>6.5737021733741846E-3</v>
      </c>
      <c r="P142" s="8">
        <v>0.20327503987787388</v>
      </c>
      <c r="Q142" s="8">
        <v>0.1580572663677895</v>
      </c>
      <c r="R142" s="3">
        <v>5.1527780148428477E-3</v>
      </c>
      <c r="S142" s="33">
        <v>-6.0497682581134235E-2</v>
      </c>
      <c r="T142" s="5">
        <v>43</v>
      </c>
      <c r="U142" s="34">
        <v>0.10612881666666664</v>
      </c>
      <c r="V142">
        <v>105.944781034025</v>
      </c>
    </row>
    <row r="143" spans="1:22" s="2" customFormat="1" x14ac:dyDescent="0.2">
      <c r="A143" s="2" t="s">
        <v>57</v>
      </c>
      <c r="B143" s="5">
        <v>2015</v>
      </c>
      <c r="C143" s="12">
        <v>2.1823386007067009</v>
      </c>
      <c r="D143" s="4">
        <v>0.87827771635188889</v>
      </c>
      <c r="E143" s="9">
        <v>7.1546449071333475E-3</v>
      </c>
      <c r="F143" s="11">
        <v>0.98950000000000005</v>
      </c>
      <c r="G143" s="8">
        <v>1204.6500000000001</v>
      </c>
      <c r="H143" s="7">
        <v>6.4103243587025807</v>
      </c>
      <c r="I143" s="4">
        <v>28547.207641230001</v>
      </c>
      <c r="J143" s="11">
        <v>0.93089999999999995</v>
      </c>
      <c r="K143" s="11">
        <v>70.933099999999996</v>
      </c>
      <c r="L143" s="7">
        <v>1</v>
      </c>
      <c r="M143" s="8">
        <v>44.9831</v>
      </c>
      <c r="N143" s="8">
        <v>10.798858865214113</v>
      </c>
      <c r="O143" s="8">
        <v>5.8135070406301424E-3</v>
      </c>
      <c r="P143" s="8">
        <v>0.24128566626501224</v>
      </c>
      <c r="Q143" s="8">
        <v>0.1481675928267151</v>
      </c>
      <c r="R143" s="3">
        <v>4.7987698173176533E-3</v>
      </c>
      <c r="S143" s="33">
        <v>-9.2314533358446485E-2</v>
      </c>
      <c r="T143" s="5">
        <v>44.8</v>
      </c>
      <c r="U143" s="34">
        <v>0.16251885833333332</v>
      </c>
      <c r="V143">
        <v>121.044025684011</v>
      </c>
    </row>
    <row r="144" spans="1:22" s="2" customFormat="1" x14ac:dyDescent="0.2">
      <c r="A144" s="2" t="s">
        <v>57</v>
      </c>
      <c r="B144" s="5">
        <v>2016</v>
      </c>
      <c r="C144" s="12">
        <v>3.6160188608133961</v>
      </c>
      <c r="D144" s="4">
        <v>1.0874142446831603</v>
      </c>
      <c r="E144" s="9">
        <v>1.2633480499736196E-2</v>
      </c>
      <c r="F144" s="11">
        <v>0.98170000000000002</v>
      </c>
      <c r="G144" s="8">
        <v>1408.61</v>
      </c>
      <c r="H144" s="7">
        <v>16.931058813763318</v>
      </c>
      <c r="I144" s="4">
        <v>29907.358379860001</v>
      </c>
      <c r="J144" s="11">
        <v>0.87609999999999999</v>
      </c>
      <c r="K144" s="11">
        <v>71.4328</v>
      </c>
      <c r="L144" s="7">
        <v>1</v>
      </c>
      <c r="M144" s="8">
        <v>53.631999999999998</v>
      </c>
      <c r="N144" s="8">
        <v>10.861508496136405</v>
      </c>
      <c r="O144" s="8">
        <v>4.7391536264450454E-3</v>
      </c>
      <c r="P144" s="8">
        <v>0.22433056657113581</v>
      </c>
      <c r="Q144" s="8">
        <v>0.1844701706603106</v>
      </c>
      <c r="R144" s="3">
        <v>5.3105908223638146E-3</v>
      </c>
      <c r="S144" s="33">
        <v>0.12570431786897612</v>
      </c>
      <c r="T144" s="5">
        <v>44.6</v>
      </c>
      <c r="U144" s="34">
        <v>0.17348815833333334</v>
      </c>
      <c r="V144">
        <v>108.79290004683401</v>
      </c>
    </row>
    <row r="145" spans="1:22" s="2" customFormat="1" x14ac:dyDescent="0.2">
      <c r="A145" s="2" t="s">
        <v>57</v>
      </c>
      <c r="B145" s="5">
        <v>2017</v>
      </c>
      <c r="C145" s="12">
        <v>1.5919182394378069</v>
      </c>
      <c r="D145" s="4">
        <v>-1.237638904106704</v>
      </c>
      <c r="E145" s="9">
        <v>2.5106941263712077E-2</v>
      </c>
      <c r="F145" s="11">
        <v>0.98499999999999999</v>
      </c>
      <c r="G145" s="8">
        <v>1289.28</v>
      </c>
      <c r="H145" s="7">
        <v>-8.4714718765307602</v>
      </c>
      <c r="I145" s="4">
        <v>27072.571952889997</v>
      </c>
      <c r="J145" s="11">
        <v>0.82310000000000005</v>
      </c>
      <c r="K145" s="11">
        <v>77.159499999999994</v>
      </c>
      <c r="L145" s="7">
        <v>1</v>
      </c>
      <c r="M145" s="8">
        <v>82.249600000000001</v>
      </c>
      <c r="N145" s="8">
        <v>10.898823749772186</v>
      </c>
      <c r="O145" s="8">
        <v>3.777397044684873E-3</v>
      </c>
      <c r="P145" s="8">
        <v>0.18935304443628118</v>
      </c>
      <c r="Q145" s="8">
        <v>0.239831563796324</v>
      </c>
      <c r="R145" s="3">
        <v>5.7389207303100544E-3</v>
      </c>
      <c r="S145" s="33">
        <v>-1.4557344380430779E-2</v>
      </c>
      <c r="T145" s="5">
        <v>44</v>
      </c>
      <c r="U145" s="34">
        <v>6.9751091666666667E-2</v>
      </c>
      <c r="V145">
        <v>112.166141081871</v>
      </c>
    </row>
    <row r="146" spans="1:22" s="2" customFormat="1" x14ac:dyDescent="0.2">
      <c r="A146" s="2" t="s">
        <v>57</v>
      </c>
      <c r="B146" s="5">
        <v>2018</v>
      </c>
      <c r="C146" s="4">
        <v>1.6266715514268089</v>
      </c>
      <c r="D146" s="4">
        <v>-0.60818388511480626</v>
      </c>
      <c r="E146" s="9">
        <v>2.0808539621928492E-2</v>
      </c>
      <c r="F146" s="4">
        <v>0.98380000000000001</v>
      </c>
      <c r="G146" s="4">
        <v>1065.1600000000001</v>
      </c>
      <c r="H146" s="7">
        <v>-17.383345743360628</v>
      </c>
      <c r="I146" s="4">
        <v>25999.26531812</v>
      </c>
      <c r="J146" s="4">
        <v>0.81820000000000004</v>
      </c>
      <c r="K146" s="4">
        <v>76.180899999999994</v>
      </c>
      <c r="L146" s="7">
        <v>1</v>
      </c>
      <c r="M146" s="4">
        <v>61.554299999999998</v>
      </c>
      <c r="N146" s="4">
        <v>10.94627306857174</v>
      </c>
      <c r="O146" s="4">
        <v>3.7164721982831947E-3</v>
      </c>
      <c r="P146" s="7">
        <v>0.234962787803949</v>
      </c>
      <c r="Q146" s="4">
        <v>0.2391618468068345</v>
      </c>
      <c r="R146" s="3">
        <v>5.7608197787474644E-3</v>
      </c>
      <c r="S146" s="33">
        <v>2.2317420335519114E-2</v>
      </c>
      <c r="T146" s="5">
        <v>45.2</v>
      </c>
      <c r="U146" s="34">
        <v>9.823383333333334E-2</v>
      </c>
      <c r="V146">
        <v>110.42317934106001</v>
      </c>
    </row>
    <row r="147" spans="1:22" s="2" customFormat="1" x14ac:dyDescent="0.2">
      <c r="A147" s="2" t="s">
        <v>57</v>
      </c>
      <c r="B147" s="5">
        <v>2019</v>
      </c>
      <c r="C147" s="4">
        <v>0.97735536225981257</v>
      </c>
      <c r="D147" s="4">
        <v>0.6213132028060504</v>
      </c>
      <c r="E147" s="9">
        <v>1.014404037236075E-2</v>
      </c>
      <c r="F147" s="4">
        <v>0.97960000000000003</v>
      </c>
      <c r="G147" s="4">
        <v>1904.92</v>
      </c>
      <c r="H147" s="7">
        <v>78.838859889594048</v>
      </c>
      <c r="I147" s="4">
        <v>28502.33576708</v>
      </c>
      <c r="J147" s="4">
        <v>0.8256</v>
      </c>
      <c r="K147" s="4">
        <v>74.8065</v>
      </c>
      <c r="L147" s="7">
        <v>1</v>
      </c>
      <c r="M147" s="4">
        <v>6.8155999999999999</v>
      </c>
      <c r="N147" s="4">
        <v>10.884726297944397</v>
      </c>
      <c r="O147" s="4">
        <v>4.4732642539325965E-3</v>
      </c>
      <c r="P147" s="7">
        <v>0.26933656114129984</v>
      </c>
      <c r="Q147" s="4">
        <v>0.37014774612077955</v>
      </c>
      <c r="R147" s="3">
        <v>6.2955970636846791E-3</v>
      </c>
      <c r="S147" s="33">
        <v>1.5297507443604967E-2</v>
      </c>
      <c r="T147" s="5">
        <v>45.2</v>
      </c>
      <c r="U147" s="34">
        <v>0.16861495833333337</v>
      </c>
      <c r="V147">
        <v>109.009665900863</v>
      </c>
    </row>
    <row r="148" spans="1:22" s="2" customFormat="1" x14ac:dyDescent="0.2">
      <c r="A148" s="2" t="s">
        <v>57</v>
      </c>
      <c r="B148" s="5">
        <v>2020</v>
      </c>
      <c r="C148" s="4">
        <v>0.81262409436957528</v>
      </c>
      <c r="D148" s="4">
        <v>-0.30512479867218345</v>
      </c>
      <c r="E148" s="9">
        <v>2.7902248627414937E-2</v>
      </c>
      <c r="F148" s="4">
        <v>0.97960000000000003</v>
      </c>
      <c r="G148" s="4">
        <v>2329.2199999999998</v>
      </c>
      <c r="H148" s="7">
        <v>22.273901266194891</v>
      </c>
      <c r="I148" s="4">
        <v>31254.5067882</v>
      </c>
      <c r="J148" s="4">
        <v>0.80500000000000005</v>
      </c>
      <c r="K148" s="4">
        <v>76.236800000000002</v>
      </c>
      <c r="L148" s="7">
        <v>1</v>
      </c>
      <c r="M148" s="4">
        <v>1.7363</v>
      </c>
      <c r="N148" s="4">
        <v>10.930630613218801</v>
      </c>
      <c r="O148" s="4">
        <v>4.7746762804946477E-3</v>
      </c>
      <c r="P148" s="7">
        <v>0.26626569590091675</v>
      </c>
      <c r="Q148" s="4">
        <v>0.15365370582716567</v>
      </c>
      <c r="R148" s="3">
        <v>6.6706157773986623E-3</v>
      </c>
      <c r="S148" s="33">
        <v>-1.3521754698139338E-2</v>
      </c>
      <c r="T148" s="5">
        <v>45.4</v>
      </c>
      <c r="U148" s="34">
        <v>0.19133301666666666</v>
      </c>
      <c r="V148">
        <v>106.77458226243699</v>
      </c>
    </row>
    <row r="149" spans="1:22" s="2" customFormat="1" x14ac:dyDescent="0.2">
      <c r="A149" s="2" t="s">
        <v>57</v>
      </c>
      <c r="B149" s="5">
        <v>2021</v>
      </c>
      <c r="C149" s="4">
        <v>-0.46837252313546623</v>
      </c>
      <c r="D149" s="4">
        <v>-0.31398084102508261</v>
      </c>
      <c r="E149" s="9">
        <v>1.8074072352385083E-2</v>
      </c>
      <c r="F149" s="4">
        <v>0.98099999999999998</v>
      </c>
      <c r="G149" s="4">
        <v>3295.7730000000001</v>
      </c>
      <c r="H149" s="7">
        <v>41.496853023759044</v>
      </c>
      <c r="I149" s="4">
        <v>0.41496853023759045</v>
      </c>
      <c r="J149" s="4">
        <v>0.7429</v>
      </c>
      <c r="K149" s="4">
        <v>83.572800000000001</v>
      </c>
      <c r="L149" s="7">
        <v>1</v>
      </c>
      <c r="M149" s="4">
        <v>221.45609999999999</v>
      </c>
      <c r="N149" s="4">
        <v>11.025295121970494</v>
      </c>
      <c r="O149" s="4">
        <v>7.4777325887047533E-3</v>
      </c>
      <c r="P149" s="7">
        <v>0.3441816351466877</v>
      </c>
      <c r="Q149" s="4">
        <v>-8.7638804908873394E-2</v>
      </c>
      <c r="R149" s="3">
        <v>6.1755817954812766E-3</v>
      </c>
      <c r="S149" s="33">
        <v>-8.566975901496245E-3</v>
      </c>
      <c r="T149" s="5">
        <v>45.6</v>
      </c>
      <c r="U149" s="34">
        <v>8.6284741666666664E-2</v>
      </c>
      <c r="V149">
        <v>109.754323839417</v>
      </c>
    </row>
    <row r="150" spans="1:22" s="2" customFormat="1" x14ac:dyDescent="0.2">
      <c r="A150" s="2" t="s">
        <v>57</v>
      </c>
      <c r="B150" s="5">
        <v>2022</v>
      </c>
      <c r="C150" s="4">
        <v>1.3016466001934526</v>
      </c>
      <c r="D150" s="4">
        <v>-2.4955824427165318E-2</v>
      </c>
      <c r="E150" s="9">
        <v>1.5320619852170677E-2</v>
      </c>
      <c r="F150" s="4">
        <v>0.98019999999999996</v>
      </c>
      <c r="G150" s="4">
        <v>3627.41</v>
      </c>
      <c r="H150" s="7">
        <v>10.062495202187764</v>
      </c>
      <c r="I150" s="4">
        <v>10.062495202187762</v>
      </c>
      <c r="J150" s="4">
        <v>0.78080000000000005</v>
      </c>
      <c r="K150" s="4">
        <v>73.960999999999999</v>
      </c>
      <c r="L150" s="7">
        <v>1</v>
      </c>
      <c r="M150" s="4">
        <v>355.89859999999999</v>
      </c>
      <c r="N150" s="4">
        <v>10.980172722774055</v>
      </c>
      <c r="O150" s="4">
        <v>7.4646257119752981E-3</v>
      </c>
      <c r="P150" s="7">
        <v>0.39064243543961763</v>
      </c>
      <c r="Q150" s="4">
        <v>2.5146293923885409E-2</v>
      </c>
      <c r="R150" s="3">
        <v>5.910013901682964E-3</v>
      </c>
      <c r="S150" s="33">
        <v>-0.15470779172132842</v>
      </c>
      <c r="T150" s="5">
        <v>46.3</v>
      </c>
      <c r="U150" s="34">
        <v>0.19251043333333331</v>
      </c>
      <c r="V150">
        <v>131.49814044376399</v>
      </c>
    </row>
    <row r="151" spans="1:22" s="2" customFormat="1" x14ac:dyDescent="0.2">
      <c r="B151" s="5"/>
      <c r="C151" s="4"/>
      <c r="D151" s="4"/>
      <c r="E151" s="9"/>
      <c r="F151" s="4"/>
      <c r="G151" s="4"/>
      <c r="H151" s="7"/>
      <c r="I151" s="4"/>
      <c r="J151" s="4"/>
      <c r="K151" s="4"/>
      <c r="L151" s="7"/>
      <c r="M151" s="4"/>
      <c r="N151" s="4"/>
      <c r="O151" s="4"/>
      <c r="P151" s="7"/>
      <c r="Q151" s="4"/>
      <c r="R151" s="3"/>
      <c r="S151" s="33"/>
      <c r="T151" s="5"/>
      <c r="U151" s="34"/>
      <c r="V151"/>
    </row>
    <row r="152" spans="1:22" s="2" customFormat="1" x14ac:dyDescent="0.2">
      <c r="A152" s="2" t="s">
        <v>89</v>
      </c>
      <c r="B152" s="5">
        <v>2014</v>
      </c>
      <c r="C152" s="4">
        <v>5.6333122663411288</v>
      </c>
      <c r="D152" s="4">
        <v>-0.79651449068354496</v>
      </c>
      <c r="E152" s="9">
        <v>1.7604952799955099E-2</v>
      </c>
      <c r="F152" s="4">
        <v>1.0511999999999999</v>
      </c>
      <c r="G152" s="4">
        <v>6.4571211000000002E-3</v>
      </c>
      <c r="H152" s="7">
        <v>-99.942083763448835</v>
      </c>
      <c r="I152" s="4">
        <v>14866.521557400001</v>
      </c>
      <c r="J152" s="4">
        <v>5.5083000000000002</v>
      </c>
      <c r="K152" s="4">
        <v>62.216799999999999</v>
      </c>
      <c r="L152" s="7">
        <v>1</v>
      </c>
      <c r="M152" s="4">
        <v>13.275</v>
      </c>
      <c r="N152" s="4">
        <v>9.2622141198679984</v>
      </c>
      <c r="O152" s="4">
        <v>1.956484397718446E-2</v>
      </c>
      <c r="P152" s="4">
        <v>0.18187639856171428</v>
      </c>
      <c r="Q152" s="4">
        <v>0.64488909116881998</v>
      </c>
      <c r="R152" s="3">
        <v>6.3003597673353222E-3</v>
      </c>
      <c r="S152" s="33">
        <v>4.7835816189875625E-2</v>
      </c>
      <c r="T152" s="5">
        <v>43.4</v>
      </c>
      <c r="U152" s="34">
        <v>4.1471583333333333E-2</v>
      </c>
      <c r="V152">
        <v>44.395154304209697</v>
      </c>
    </row>
    <row r="153" spans="1:22" s="2" customFormat="1" x14ac:dyDescent="0.2">
      <c r="A153" s="2" t="s">
        <v>89</v>
      </c>
      <c r="B153" s="5">
        <v>2015</v>
      </c>
      <c r="C153" s="4">
        <v>5.452723837407202</v>
      </c>
      <c r="D153" s="4">
        <v>0.19267380546563956</v>
      </c>
      <c r="E153" s="9">
        <v>6.8124293834895709E-3</v>
      </c>
      <c r="F153" s="4">
        <v>1.0185999999999999</v>
      </c>
      <c r="G153" s="4">
        <v>6.3884238000000001E-3</v>
      </c>
      <c r="H153" s="7">
        <v>-1.0638998237155572</v>
      </c>
      <c r="I153" s="4">
        <v>17093.937325080002</v>
      </c>
      <c r="J153" s="4">
        <v>6.4081999999999999</v>
      </c>
      <c r="K153" s="4">
        <v>62.177799999999998</v>
      </c>
      <c r="L153" s="7">
        <v>1</v>
      </c>
      <c r="M153" s="4">
        <v>32.254300000000001</v>
      </c>
      <c r="N153" s="4">
        <v>9.327505679099799</v>
      </c>
      <c r="O153" s="4">
        <v>1.956484397718446E-2</v>
      </c>
      <c r="P153" s="4">
        <v>0.20130653661349468</v>
      </c>
      <c r="Q153" s="4">
        <v>0.65610324167925727</v>
      </c>
      <c r="R153" s="3">
        <v>5.8784011116381769E-4</v>
      </c>
      <c r="S153" s="33">
        <v>3.0127105290255505E-2</v>
      </c>
      <c r="T153" s="5">
        <v>45.2</v>
      </c>
      <c r="U153" s="34">
        <v>0.18857363333333335</v>
      </c>
      <c r="V153">
        <v>45.502839942143098</v>
      </c>
    </row>
    <row r="154" spans="1:22" s="2" customFormat="1" x14ac:dyDescent="0.2">
      <c r="A154" s="2" t="s">
        <v>89</v>
      </c>
      <c r="B154" s="5">
        <v>2016</v>
      </c>
      <c r="C154" s="4">
        <v>5.3086971661050599</v>
      </c>
      <c r="D154" s="4">
        <v>14.475160230297355</v>
      </c>
      <c r="E154" s="9">
        <v>-0.13775086791276678</v>
      </c>
      <c r="F154" s="4">
        <v>1.0197000000000001</v>
      </c>
      <c r="G154" s="4">
        <v>4.3690176000000004E-3</v>
      </c>
      <c r="H154" s="7">
        <v>-31.610398170515857</v>
      </c>
      <c r="I154" s="4">
        <v>14742.051210399999</v>
      </c>
      <c r="J154" s="4">
        <v>5.4593999999999996</v>
      </c>
      <c r="K154" s="4">
        <v>60.7136</v>
      </c>
      <c r="L154" s="7">
        <v>1</v>
      </c>
      <c r="M154" s="4">
        <v>54.215200000000003</v>
      </c>
      <c r="N154" s="4">
        <v>9.4691869798146691</v>
      </c>
      <c r="O154" s="4">
        <v>1.6913078801207435E-2</v>
      </c>
      <c r="P154" s="4">
        <v>0.16924043773772129</v>
      </c>
      <c r="Q154" s="4">
        <v>0.67702197096219496</v>
      </c>
      <c r="R154" s="3">
        <v>7.2653834225018697E-3</v>
      </c>
      <c r="S154" s="33">
        <v>3.9749702840340337E-2</v>
      </c>
      <c r="T154" s="5">
        <v>46</v>
      </c>
      <c r="U154" s="34">
        <v>0.37347397500000001</v>
      </c>
      <c r="V154">
        <v>47.4924638585099</v>
      </c>
    </row>
    <row r="155" spans="1:22" s="2" customFormat="1" x14ac:dyDescent="0.2">
      <c r="A155" s="2" t="s">
        <v>89</v>
      </c>
      <c r="B155" s="5">
        <v>2017</v>
      </c>
      <c r="C155" s="4">
        <v>5.2475992201207378</v>
      </c>
      <c r="D155" s="4">
        <v>-0.18590389054673831</v>
      </c>
      <c r="E155" s="9">
        <v>9.9381811827742809E-3</v>
      </c>
      <c r="F155" s="4">
        <v>1.0077</v>
      </c>
      <c r="G155" s="4">
        <v>6.6717399999999998E-3</v>
      </c>
      <c r="H155" s="7">
        <v>52.705724966637788</v>
      </c>
      <c r="I155" s="4">
        <v>12805.211494879999</v>
      </c>
      <c r="J155" s="4">
        <v>3.5642999999999998</v>
      </c>
      <c r="K155" s="4">
        <v>61.984000000000002</v>
      </c>
      <c r="L155" s="7">
        <v>1</v>
      </c>
      <c r="M155" s="4">
        <v>24.0487</v>
      </c>
      <c r="N155" s="4">
        <v>9.6178936450162791</v>
      </c>
      <c r="O155" s="4">
        <v>1.4589132037127271E-2</v>
      </c>
      <c r="P155" s="4">
        <v>0.17867983054515271</v>
      </c>
      <c r="Q155" s="4">
        <v>0.77334871263205307</v>
      </c>
      <c r="R155" s="3">
        <v>7.1739978673124767E-3</v>
      </c>
      <c r="S155" s="33">
        <v>3.0925609124340198E-2</v>
      </c>
      <c r="T155" s="5">
        <v>43.6</v>
      </c>
      <c r="U155" s="34">
        <v>0.13549924166666663</v>
      </c>
      <c r="V155">
        <v>50.403719793717698</v>
      </c>
    </row>
    <row r="156" spans="1:22" s="2" customFormat="1" x14ac:dyDescent="0.2">
      <c r="A156" s="2" t="s">
        <v>89</v>
      </c>
      <c r="B156" s="5">
        <v>2018</v>
      </c>
      <c r="C156" s="4">
        <v>4.8721912430817946</v>
      </c>
      <c r="D156" s="4">
        <v>0.51640513600175331</v>
      </c>
      <c r="E156" s="9">
        <v>3.3033206418808568E-3</v>
      </c>
      <c r="F156" s="4">
        <v>0.98260000000000003</v>
      </c>
      <c r="G156" s="4">
        <v>7.7898968000000004E-3</v>
      </c>
      <c r="H156" s="7">
        <v>16.759597945963129</v>
      </c>
      <c r="I156" s="4">
        <v>11351.946150999998</v>
      </c>
      <c r="J156" s="4">
        <v>3.4571000000000001</v>
      </c>
      <c r="K156" s="4">
        <v>63.063299999999998</v>
      </c>
      <c r="L156" s="7">
        <v>1</v>
      </c>
      <c r="M156" s="4">
        <v>45.331299999999999</v>
      </c>
      <c r="N156" s="4">
        <v>9.713293529033324</v>
      </c>
      <c r="O156" s="4">
        <v>1.3813520531246064E-2</v>
      </c>
      <c r="P156" s="4">
        <v>0.14511391950664654</v>
      </c>
      <c r="Q156" s="4">
        <v>1.1944099175381442</v>
      </c>
      <c r="R156" s="3">
        <v>7.1025205239840508E-3</v>
      </c>
      <c r="S156" s="33">
        <v>5.5897215912753283E-2</v>
      </c>
      <c r="T156" s="5">
        <v>45.9</v>
      </c>
      <c r="U156" s="34">
        <v>0.15967181666666666</v>
      </c>
      <c r="V156">
        <v>52.661429953968302</v>
      </c>
    </row>
    <row r="157" spans="1:22" s="2" customFormat="1" x14ac:dyDescent="0.2">
      <c r="A157" s="2" t="s">
        <v>89</v>
      </c>
      <c r="B157" s="5">
        <v>2019</v>
      </c>
      <c r="C157" s="4">
        <v>5.3010992492226672</v>
      </c>
      <c r="D157" s="4">
        <v>0.72017689265108364</v>
      </c>
      <c r="E157" s="9">
        <v>1.7641483368317356E-3</v>
      </c>
      <c r="F157" s="4">
        <v>0.97</v>
      </c>
      <c r="G157" s="4">
        <v>1.322541E-2</v>
      </c>
      <c r="H157" s="7">
        <v>69.77644684586835</v>
      </c>
      <c r="I157" s="4">
        <v>17156.173020000002</v>
      </c>
      <c r="J157" s="4">
        <v>3.3784999999999998</v>
      </c>
      <c r="K157" s="4">
        <v>59.202500000000001</v>
      </c>
      <c r="L157" s="7">
        <v>1</v>
      </c>
      <c r="M157" s="4">
        <v>73.590199999999996</v>
      </c>
      <c r="N157" s="4">
        <v>9.8510392492772993</v>
      </c>
      <c r="O157" s="4">
        <v>1.5419565297564148E-2</v>
      </c>
      <c r="P157" s="4">
        <v>0.12690965505312909</v>
      </c>
      <c r="Q157" s="4">
        <v>1.8971842962738314</v>
      </c>
      <c r="R157" s="3">
        <v>7.4517424488690694E-3</v>
      </c>
      <c r="S157" s="33">
        <v>8.6441425188647905E-2</v>
      </c>
      <c r="T157" s="5">
        <v>45.8</v>
      </c>
      <c r="U157" s="34">
        <v>0.15531761666666663</v>
      </c>
      <c r="V157">
        <v>51.795782651733298</v>
      </c>
    </row>
    <row r="158" spans="1:22" s="2" customFormat="1" x14ac:dyDescent="0.2">
      <c r="A158" s="2" t="s">
        <v>89</v>
      </c>
      <c r="B158" s="5">
        <v>2020</v>
      </c>
      <c r="C158" s="4">
        <v>5.7740256424752063</v>
      </c>
      <c r="D158" s="4">
        <v>-0.84566754811600719</v>
      </c>
      <c r="E158" s="9">
        <v>2.5452457683450801E-2</v>
      </c>
      <c r="F158" s="4">
        <v>0.96340000000000003</v>
      </c>
      <c r="G158" s="4">
        <v>2.07733968E-2</v>
      </c>
      <c r="H158" s="7">
        <v>57.071854861210348</v>
      </c>
      <c r="I158" s="4">
        <v>27038.492826059999</v>
      </c>
      <c r="J158" s="4">
        <v>4.0716000000000001</v>
      </c>
      <c r="K158" s="4">
        <v>49.274900000000002</v>
      </c>
      <c r="L158" s="7">
        <v>1</v>
      </c>
      <c r="M158" s="4">
        <v>72.125799999999998</v>
      </c>
      <c r="N158" s="4">
        <v>9.9793963087331274</v>
      </c>
      <c r="O158" s="4">
        <v>2.6435926972910018E-2</v>
      </c>
      <c r="P158" s="4">
        <v>0.18155205512301165</v>
      </c>
      <c r="Q158" s="4">
        <v>0.99886778154852762</v>
      </c>
      <c r="R158" s="3">
        <v>6.8525387951566463E-3</v>
      </c>
      <c r="S158" s="33">
        <v>-3.9998203799255165E-2</v>
      </c>
      <c r="T158" s="5">
        <v>45.5</v>
      </c>
      <c r="U158" s="34">
        <v>0.20053407500000001</v>
      </c>
      <c r="V158">
        <v>49.624096002632797</v>
      </c>
    </row>
    <row r="159" spans="1:22" s="2" customFormat="1" x14ac:dyDescent="0.2">
      <c r="A159" s="2" t="s">
        <v>89</v>
      </c>
      <c r="B159" s="5">
        <v>2021</v>
      </c>
      <c r="C159" s="4">
        <v>6.6704088333951246</v>
      </c>
      <c r="D159" s="4">
        <v>2.5451439433646041</v>
      </c>
      <c r="E159" s="9">
        <v>-1.5148979721720735E-2</v>
      </c>
      <c r="F159" s="4">
        <v>0.95589999999999997</v>
      </c>
      <c r="G159" s="4">
        <v>2.1183660399999998E-2</v>
      </c>
      <c r="H159" s="7">
        <v>1.9749471112013737</v>
      </c>
      <c r="I159" s="4">
        <v>30067.223774459999</v>
      </c>
      <c r="J159" s="4">
        <v>4.2699999999999996</v>
      </c>
      <c r="K159" s="4">
        <v>45.787199999999999</v>
      </c>
      <c r="L159" s="7">
        <v>1</v>
      </c>
      <c r="M159" s="4">
        <v>90.897599999999997</v>
      </c>
      <c r="N159" s="4">
        <v>9.9890349859831229</v>
      </c>
      <c r="O159" s="4">
        <v>2.4535284289331685E-2</v>
      </c>
      <c r="P159" s="4">
        <v>0.15573573819533984</v>
      </c>
      <c r="Q159" s="4">
        <v>0.42435889622825701</v>
      </c>
      <c r="R159" s="3">
        <v>7.2355305752359557E-3</v>
      </c>
      <c r="S159" s="33">
        <v>8.9388014366234975E-2</v>
      </c>
      <c r="T159" s="5">
        <v>46.7</v>
      </c>
      <c r="U159" s="34">
        <v>0.33326032500000008</v>
      </c>
      <c r="V159">
        <v>49.254597728841198</v>
      </c>
    </row>
    <row r="160" spans="1:22" s="2" customFormat="1" x14ac:dyDescent="0.2">
      <c r="A160" s="2" t="s">
        <v>89</v>
      </c>
      <c r="B160" s="5">
        <v>2022</v>
      </c>
      <c r="C160" s="4">
        <v>7.3512778837236787</v>
      </c>
      <c r="D160" s="4">
        <v>0.1400686038309264</v>
      </c>
      <c r="E160" s="9">
        <v>1.0998675274689602E-2</v>
      </c>
      <c r="F160" s="4">
        <v>0.95440000000000003</v>
      </c>
      <c r="G160" s="4">
        <v>1.8281915999999999E-2</v>
      </c>
      <c r="H160" s="7">
        <v>-13.698031148573358</v>
      </c>
      <c r="I160" s="4">
        <v>29744.577015250001</v>
      </c>
      <c r="J160" s="4">
        <v>4.2792000000000003</v>
      </c>
      <c r="K160" s="4">
        <v>43.838900000000002</v>
      </c>
      <c r="L160" s="7">
        <v>1</v>
      </c>
      <c r="M160" s="4">
        <v>73.331199999999995</v>
      </c>
      <c r="N160" s="4">
        <v>10.08086505343603</v>
      </c>
      <c r="O160" s="4">
        <v>2.5247399910904585E-2</v>
      </c>
      <c r="P160" s="4">
        <v>0.11828754358134308</v>
      </c>
      <c r="Q160" s="4">
        <v>0.52825757017535613</v>
      </c>
      <c r="R160" s="3">
        <v>6.733324394458692E-3</v>
      </c>
      <c r="S160" s="33">
        <v>2.5874885310194974E-2</v>
      </c>
      <c r="T160" s="5">
        <v>52.3</v>
      </c>
      <c r="U160" s="34">
        <v>0.29102359166666669</v>
      </c>
      <c r="V160">
        <v>54.477785837204998</v>
      </c>
    </row>
    <row r="161" spans="1:22" s="2" customFormat="1" x14ac:dyDescent="0.2">
      <c r="B161" s="5"/>
      <c r="C161" s="4"/>
      <c r="D161" s="4"/>
      <c r="E161" s="9"/>
      <c r="F161" s="4"/>
      <c r="G161" s="4"/>
      <c r="H161" s="7"/>
      <c r="I161" s="4"/>
      <c r="J161" s="4"/>
      <c r="K161" s="4"/>
      <c r="L161" s="7"/>
      <c r="M161" s="4"/>
      <c r="N161" s="4"/>
      <c r="O161" s="4"/>
      <c r="P161" s="4"/>
      <c r="Q161" s="4"/>
      <c r="R161" s="3"/>
      <c r="S161" s="33"/>
      <c r="T161" s="5"/>
      <c r="U161" s="34"/>
      <c r="V161"/>
    </row>
    <row r="162" spans="1:22" s="2" customFormat="1" x14ac:dyDescent="0.2">
      <c r="A162" s="2" t="s">
        <v>71</v>
      </c>
      <c r="B162" s="5">
        <v>2014</v>
      </c>
      <c r="C162" s="8">
        <v>4.1573826040199453</v>
      </c>
      <c r="D162" s="4">
        <v>2.4785860237464616</v>
      </c>
      <c r="E162" s="6">
        <v>-7.9424279633264223E-3</v>
      </c>
      <c r="F162" s="8">
        <v>1.0901000000000001</v>
      </c>
      <c r="G162" s="4">
        <v>6204799.9999999991</v>
      </c>
      <c r="H162" s="7">
        <v>-0.88036409999999987</v>
      </c>
      <c r="I162" s="4">
        <v>127774.39481856</v>
      </c>
      <c r="J162" s="8">
        <v>2.9773000000000001</v>
      </c>
      <c r="K162" s="8">
        <v>43.912500000000001</v>
      </c>
      <c r="L162" s="7">
        <v>1</v>
      </c>
      <c r="M162" s="8">
        <v>240.63810000000001</v>
      </c>
      <c r="N162" s="8">
        <v>11.734891029930873</v>
      </c>
      <c r="O162" s="8">
        <v>2.3081171755986292E-2</v>
      </c>
      <c r="P162" s="8">
        <v>5.4574504477994376E-2</v>
      </c>
      <c r="Q162" s="8">
        <v>1.8248061184140529</v>
      </c>
      <c r="R162" s="3">
        <v>1.1028624358084311E-2</v>
      </c>
      <c r="S162" s="33">
        <v>9.8240353028793539E-2</v>
      </c>
      <c r="T162" s="33">
        <v>29.2</v>
      </c>
      <c r="U162" s="34">
        <v>0.144828875</v>
      </c>
      <c r="V162">
        <v>61.029514460784299</v>
      </c>
    </row>
    <row r="163" spans="1:22" s="2" customFormat="1" x14ac:dyDescent="0.2">
      <c r="A163" s="2" t="s">
        <v>71</v>
      </c>
      <c r="B163" s="5">
        <v>2015</v>
      </c>
      <c r="C163" s="8">
        <v>4.1691005671879866</v>
      </c>
      <c r="D163" s="4">
        <v>2.7739479590468119</v>
      </c>
      <c r="E163" s="6">
        <v>-7.7590166378589268E-3</v>
      </c>
      <c r="F163" s="8">
        <v>1.1189</v>
      </c>
      <c r="G163" s="4">
        <v>6951330</v>
      </c>
      <c r="H163" s="7">
        <v>12.0314917</v>
      </c>
      <c r="I163" s="4">
        <v>276690.36509730003</v>
      </c>
      <c r="J163" s="8">
        <v>4.0846999999999998</v>
      </c>
      <c r="K163" s="8">
        <v>42.682699999999997</v>
      </c>
      <c r="L163" s="7">
        <v>1</v>
      </c>
      <c r="M163" s="8">
        <v>248.30009999999999</v>
      </c>
      <c r="N163" s="8">
        <v>11.79492671631945</v>
      </c>
      <c r="O163" s="8">
        <v>2.7205300909691654E-2</v>
      </c>
      <c r="P163" s="8">
        <v>4.7774747748867023E-2</v>
      </c>
      <c r="Q163" s="8">
        <v>1.7627521097334442</v>
      </c>
      <c r="R163" s="3">
        <v>1.1678901679751432E-2</v>
      </c>
      <c r="S163" s="33">
        <v>3.1612495952536568E-2</v>
      </c>
      <c r="T163" s="32">
        <v>29.3</v>
      </c>
      <c r="U163" s="34">
        <v>0.17680460000000001</v>
      </c>
      <c r="V163">
        <v>64.151944463278596</v>
      </c>
    </row>
    <row r="164" spans="1:22" s="2" customFormat="1" x14ac:dyDescent="0.2">
      <c r="A164" s="2" t="s">
        <v>71</v>
      </c>
      <c r="B164" s="5">
        <v>2016</v>
      </c>
      <c r="C164" s="8">
        <v>3.1935099620289034</v>
      </c>
      <c r="D164" s="4">
        <v>3.072837571483737</v>
      </c>
      <c r="E164" s="6">
        <v>-8.0826795510993941E-3</v>
      </c>
      <c r="F164" s="8">
        <v>1.0472999999999999</v>
      </c>
      <c r="G164" s="15">
        <v>7442139.9999999991</v>
      </c>
      <c r="H164" s="7">
        <v>7.0606632000000005</v>
      </c>
      <c r="I164" s="4">
        <v>435729.05736450001</v>
      </c>
      <c r="J164" s="8">
        <v>3.1038999999999999</v>
      </c>
      <c r="K164" s="8">
        <v>49.752899999999997</v>
      </c>
      <c r="L164" s="7">
        <v>1</v>
      </c>
      <c r="M164" s="8">
        <v>231.0745</v>
      </c>
      <c r="N164" s="8">
        <v>11.841477094811133</v>
      </c>
      <c r="O164" s="8">
        <v>3.1507878183066503E-2</v>
      </c>
      <c r="P164" s="8">
        <v>6.3734481471168572E-2</v>
      </c>
      <c r="Q164" s="8">
        <v>2.3766459197375949</v>
      </c>
      <c r="R164" s="3">
        <v>1.1301649238860017E-2</v>
      </c>
      <c r="S164" s="33">
        <v>9.0896369032459928E-2</v>
      </c>
      <c r="T164" s="32">
        <v>29.6</v>
      </c>
      <c r="U164" s="34">
        <v>0.16582907499999999</v>
      </c>
      <c r="V164">
        <v>67.195312807389399</v>
      </c>
    </row>
    <row r="165" spans="1:22" s="2" customFormat="1" x14ac:dyDescent="0.2">
      <c r="A165" s="2" t="s">
        <v>71</v>
      </c>
      <c r="B165" s="5">
        <v>2017</v>
      </c>
      <c r="C165" s="8">
        <v>2.9627064084850425</v>
      </c>
      <c r="D165" s="4">
        <v>1.0770125405736037</v>
      </c>
      <c r="E165" s="6">
        <v>6.5782300167295891E-3</v>
      </c>
      <c r="F165" s="8">
        <v>1.0573999999999999</v>
      </c>
      <c r="G165" s="4">
        <v>8814360</v>
      </c>
      <c r="H165" s="7">
        <v>18.438513700000001</v>
      </c>
      <c r="I165" s="4">
        <v>656015.07475135999</v>
      </c>
      <c r="J165" s="8">
        <v>4.2153999999999998</v>
      </c>
      <c r="K165" s="8">
        <v>40.804499999999997</v>
      </c>
      <c r="L165" s="7">
        <v>1</v>
      </c>
      <c r="M165" s="8">
        <v>179.54310000000001</v>
      </c>
      <c r="N165" s="8">
        <v>11.931424660434796</v>
      </c>
      <c r="O165" s="8">
        <v>3.7369740293261351E-2</v>
      </c>
      <c r="P165" s="8">
        <v>7.6314273114444151E-2</v>
      </c>
      <c r="Q165" s="8">
        <v>2.5226265968272839</v>
      </c>
      <c r="R165" s="3">
        <v>1.044352416532069E-2</v>
      </c>
      <c r="S165" s="33">
        <v>0.15542873309395608</v>
      </c>
      <c r="T165" s="32">
        <v>32.6</v>
      </c>
      <c r="U165" s="34">
        <v>0.18246399999999999</v>
      </c>
      <c r="V165">
        <v>65.121568645066006</v>
      </c>
    </row>
    <row r="166" spans="1:22" s="2" customFormat="1" x14ac:dyDescent="0.2">
      <c r="A166" s="2" t="s">
        <v>71</v>
      </c>
      <c r="B166" s="5">
        <v>2018</v>
      </c>
      <c r="C166" s="8">
        <v>2.0941050956798297</v>
      </c>
      <c r="D166" s="4">
        <v>1.3900839493137271</v>
      </c>
      <c r="E166" s="6">
        <v>5.8498227286875723E-3</v>
      </c>
      <c r="F166" s="8">
        <v>1.0608</v>
      </c>
      <c r="G166" s="4">
        <v>11336607</v>
      </c>
      <c r="H166" s="7">
        <v>28.615202899999996</v>
      </c>
      <c r="I166" s="4">
        <v>829955.51693378994</v>
      </c>
      <c r="J166" s="8">
        <v>3.8740999999999999</v>
      </c>
      <c r="K166" s="8">
        <v>47.618699999999997</v>
      </c>
      <c r="L166" s="7">
        <v>1</v>
      </c>
      <c r="M166" s="8">
        <v>202.9434</v>
      </c>
      <c r="N166" s="8">
        <v>12.058700606963086</v>
      </c>
      <c r="O166" s="8">
        <v>4.6384258161200627E-2</v>
      </c>
      <c r="P166" s="8">
        <v>6.9035797204678992E-2</v>
      </c>
      <c r="Q166" s="8">
        <v>3.1208413918122231</v>
      </c>
      <c r="R166" s="3">
        <v>1.0147316038500324E-2</v>
      </c>
      <c r="S166" s="33">
        <v>1.9406327007352973E-2</v>
      </c>
      <c r="T166" s="32">
        <v>36</v>
      </c>
      <c r="U166" s="34">
        <v>7.0109500000000005E-2</v>
      </c>
      <c r="V166">
        <v>68.389467093542095</v>
      </c>
    </row>
    <row r="167" spans="1:22" s="2" customFormat="1" x14ac:dyDescent="0.2">
      <c r="A167" s="2" t="s">
        <v>71</v>
      </c>
      <c r="B167" s="5">
        <v>2019</v>
      </c>
      <c r="C167" s="8">
        <v>1.1480754981905112</v>
      </c>
      <c r="D167" s="4">
        <v>0.63464135750566819</v>
      </c>
      <c r="E167" s="6">
        <v>1.142379095124018E-2</v>
      </c>
      <c r="F167" s="8">
        <v>1.1162000000000001</v>
      </c>
      <c r="G167" s="4">
        <v>17566162</v>
      </c>
      <c r="H167" s="7">
        <v>54.950789099999994</v>
      </c>
      <c r="I167" s="4">
        <v>700621.46580678003</v>
      </c>
      <c r="J167" s="8">
        <v>4.0942999999999996</v>
      </c>
      <c r="K167" s="8">
        <v>52.435200000000002</v>
      </c>
      <c r="L167" s="7">
        <v>1</v>
      </c>
      <c r="M167" s="8">
        <v>181.1935</v>
      </c>
      <c r="N167" s="8">
        <v>12.093452819163296</v>
      </c>
      <c r="O167" s="8">
        <v>5.0593912445350386E-2</v>
      </c>
      <c r="P167" s="8">
        <v>6.2278443400659009E-2</v>
      </c>
      <c r="Q167" s="8">
        <v>5.2883591348912704</v>
      </c>
      <c r="R167" s="3">
        <v>1.000178320185712E-2</v>
      </c>
      <c r="S167" s="33">
        <v>4.9086221200260238E-2</v>
      </c>
      <c r="T167" s="32">
        <v>36.700000000000003</v>
      </c>
      <c r="U167" s="34">
        <v>0.19089490833333334</v>
      </c>
      <c r="V167">
        <v>70.420340535955106</v>
      </c>
    </row>
    <row r="168" spans="1:22" s="2" customFormat="1" x14ac:dyDescent="0.2">
      <c r="A168" s="2" t="s">
        <v>71</v>
      </c>
      <c r="B168" s="5">
        <v>2020</v>
      </c>
      <c r="C168" s="8">
        <v>2.0709391396468186</v>
      </c>
      <c r="D168" s="4">
        <v>2.0321731249267492</v>
      </c>
      <c r="E168" s="6">
        <v>1.3905672090163362E-2</v>
      </c>
      <c r="F168" s="8">
        <v>1.0629</v>
      </c>
      <c r="G168" s="4">
        <v>23649552</v>
      </c>
      <c r="H168" s="7">
        <v>34.6312985</v>
      </c>
      <c r="I168" s="4">
        <v>581661.32682144002</v>
      </c>
      <c r="J168" s="8">
        <v>4.4659000000000004</v>
      </c>
      <c r="K168" s="8">
        <v>55.961500000000001</v>
      </c>
      <c r="L168" s="7">
        <v>0</v>
      </c>
      <c r="M168" s="8">
        <v>169.22069999999999</v>
      </c>
      <c r="N168" s="8">
        <v>12.115756664528162</v>
      </c>
      <c r="O168" s="8">
        <v>4.47908259705447E-2</v>
      </c>
      <c r="P168" s="8">
        <v>8.7753084544365811E-2</v>
      </c>
      <c r="Q168" s="8">
        <v>2.4028438930043423</v>
      </c>
      <c r="R168" s="3">
        <v>9.2329879222483695E-3</v>
      </c>
      <c r="S168" s="33">
        <v>-5.7839783974402245E-2</v>
      </c>
      <c r="T168" s="32">
        <v>41.3</v>
      </c>
      <c r="U168" s="34">
        <v>0.12185847500000001</v>
      </c>
      <c r="V168">
        <v>74.099566883605206</v>
      </c>
    </row>
    <row r="169" spans="1:22" s="2" customFormat="1" x14ac:dyDescent="0.2">
      <c r="A169" s="2" t="s">
        <v>71</v>
      </c>
      <c r="B169" s="5">
        <v>2021</v>
      </c>
      <c r="C169" s="8">
        <v>3.3920426913884838</v>
      </c>
      <c r="D169" s="4">
        <v>-1.2381934131380166</v>
      </c>
      <c r="E169" s="6">
        <v>3.2090760087440752E-2</v>
      </c>
      <c r="F169" s="8">
        <v>1.1556999999999999</v>
      </c>
      <c r="G169" s="4">
        <v>25062638.039999999</v>
      </c>
      <c r="H169" s="7">
        <v>5.9751070000000004</v>
      </c>
      <c r="I169" s="4">
        <v>583671.02401220996</v>
      </c>
      <c r="J169" s="8">
        <v>4.3799000000000001</v>
      </c>
      <c r="K169" s="8">
        <v>48.286700000000003</v>
      </c>
      <c r="L169" s="7">
        <v>1</v>
      </c>
      <c r="M169" s="8">
        <v>93.778700000000001</v>
      </c>
      <c r="N169" s="8">
        <v>12.278927181782654</v>
      </c>
      <c r="O169" s="8">
        <v>3.9844559991614806E-2</v>
      </c>
      <c r="P169" s="8">
        <v>8.2023946410162543E-2</v>
      </c>
      <c r="Q169" s="8">
        <v>1.6480839647117287</v>
      </c>
      <c r="R169" s="3">
        <v>8.5907366589029668E-3</v>
      </c>
      <c r="S169" s="33">
        <v>0.1791856081844693</v>
      </c>
      <c r="T169" s="32">
        <v>39.4</v>
      </c>
      <c r="U169" s="34">
        <v>6.0301849999999997E-2</v>
      </c>
      <c r="V169">
        <v>73.918012815435105</v>
      </c>
    </row>
    <row r="170" spans="1:22" s="2" customFormat="1" x14ac:dyDescent="0.2">
      <c r="A170" s="2" t="s">
        <v>71</v>
      </c>
      <c r="B170" s="5">
        <v>2022</v>
      </c>
      <c r="C170" s="8">
        <v>4.056497364107182</v>
      </c>
      <c r="D170" s="4">
        <v>1.8473990494648209</v>
      </c>
      <c r="E170" s="6">
        <v>-4.0730849765653332E-3</v>
      </c>
      <c r="F170" s="8">
        <v>1.1857</v>
      </c>
      <c r="G170" s="4">
        <v>37056016.612999998</v>
      </c>
      <c r="H170" s="7">
        <v>47.853616000000002</v>
      </c>
      <c r="I170" s="4">
        <v>455145.33578090003</v>
      </c>
      <c r="J170" s="8">
        <v>4.5073999999999996</v>
      </c>
      <c r="K170" s="8">
        <v>46.898899999999998</v>
      </c>
      <c r="L170" s="7">
        <v>1</v>
      </c>
      <c r="M170" s="8">
        <v>92.906999999999996</v>
      </c>
      <c r="N170" s="8">
        <v>12.349628115979083</v>
      </c>
      <c r="O170" s="8">
        <v>2.8709482023861168E-2</v>
      </c>
      <c r="P170" s="8">
        <v>8.9059017068466584E-2</v>
      </c>
      <c r="Q170" s="8">
        <v>1.2022529404896871</v>
      </c>
      <c r="R170" s="3">
        <v>8.681881915354633E-3</v>
      </c>
      <c r="S170" s="33">
        <v>7.452704133482646E-2</v>
      </c>
      <c r="T170" s="32">
        <v>40.9</v>
      </c>
      <c r="U170" s="34">
        <v>0.19755554166666667</v>
      </c>
      <c r="V170">
        <v>78.604490582991602</v>
      </c>
    </row>
    <row r="171" spans="1:22" s="2" customFormat="1" x14ac:dyDescent="0.2">
      <c r="B171" s="5"/>
      <c r="C171" s="8"/>
      <c r="D171" s="4"/>
      <c r="E171" s="6"/>
      <c r="F171" s="8"/>
      <c r="G171" s="4"/>
      <c r="H171" s="7"/>
      <c r="I171" s="4"/>
      <c r="J171" s="8"/>
      <c r="K171" s="8"/>
      <c r="L171" s="7"/>
      <c r="M171" s="8"/>
      <c r="N171" s="8"/>
      <c r="O171" s="8"/>
      <c r="P171" s="8"/>
      <c r="Q171" s="8"/>
      <c r="R171" s="3"/>
      <c r="S171" s="33"/>
      <c r="T171" s="32"/>
      <c r="U171" s="34"/>
      <c r="V171"/>
    </row>
    <row r="172" spans="1:22" s="2" customFormat="1" x14ac:dyDescent="0.2">
      <c r="A172" s="31" t="s">
        <v>74</v>
      </c>
      <c r="B172" s="5">
        <v>2014</v>
      </c>
      <c r="C172" s="8">
        <v>5.9985496789098658</v>
      </c>
      <c r="D172" s="4">
        <v>2.6596471748120396</v>
      </c>
      <c r="E172" s="6">
        <v>-9.9505680158716563E-3</v>
      </c>
      <c r="F172" s="8">
        <v>1.1993</v>
      </c>
      <c r="G172" s="4">
        <v>13538882</v>
      </c>
      <c r="H172" s="7">
        <v>12323.407816620496</v>
      </c>
      <c r="I172" s="4">
        <v>10364.675482070001</v>
      </c>
      <c r="J172" s="8">
        <v>3.9279999999999999</v>
      </c>
      <c r="K172" s="8">
        <v>46.558</v>
      </c>
      <c r="L172" s="7">
        <v>1</v>
      </c>
      <c r="M172" s="8">
        <v>166.68270000000001</v>
      </c>
      <c r="N172" s="8">
        <v>9.5840119050638979</v>
      </c>
      <c r="O172" s="8">
        <v>7.8637269315838219E-3</v>
      </c>
      <c r="P172" s="8">
        <v>7.6435596216162777E-2</v>
      </c>
      <c r="Q172" s="8">
        <v>2.5197296473074657</v>
      </c>
      <c r="R172" s="3">
        <v>9.1795878976680609E-3</v>
      </c>
      <c r="S172" s="33">
        <v>9.8240353028793539E-2</v>
      </c>
      <c r="T172" s="33">
        <v>29.2</v>
      </c>
      <c r="U172" s="34">
        <v>0.144828875</v>
      </c>
      <c r="V172">
        <v>61.029514460784299</v>
      </c>
    </row>
    <row r="173" spans="1:22" s="2" customFormat="1" x14ac:dyDescent="0.2">
      <c r="A173" s="31" t="s">
        <v>74</v>
      </c>
      <c r="B173" s="5">
        <v>2015</v>
      </c>
      <c r="C173" s="8">
        <v>6.2071675146184564</v>
      </c>
      <c r="D173" s="4">
        <v>3.1030034915152278</v>
      </c>
      <c r="E173" s="6">
        <v>-1.4804748286445285E-2</v>
      </c>
      <c r="F173" s="8">
        <v>1.3324</v>
      </c>
      <c r="G173" s="4">
        <v>175404.98</v>
      </c>
      <c r="H173" s="7">
        <v>-98.70443527020916</v>
      </c>
      <c r="I173" s="4">
        <v>9034.4882628000014</v>
      </c>
      <c r="J173" s="8">
        <v>3.7999000000000001</v>
      </c>
      <c r="K173" s="8">
        <v>46.2761</v>
      </c>
      <c r="L173" s="7">
        <v>1</v>
      </c>
      <c r="M173" s="8">
        <v>197.03290000000001</v>
      </c>
      <c r="N173" s="8">
        <v>9.770646892729328</v>
      </c>
      <c r="O173" s="8">
        <v>5.09743191565194E-3</v>
      </c>
      <c r="P173" s="8">
        <v>9.2158355303649866E-2</v>
      </c>
      <c r="Q173" s="8">
        <v>2.3149892322461798</v>
      </c>
      <c r="R173" s="3">
        <v>9.3263987441738298E-3</v>
      </c>
      <c r="S173" s="33">
        <v>3.1612495952536568E-2</v>
      </c>
      <c r="T173" s="32">
        <v>29.3</v>
      </c>
      <c r="U173" s="34">
        <v>0.17680460000000001</v>
      </c>
      <c r="V173">
        <v>64.151944463278596</v>
      </c>
    </row>
    <row r="174" spans="1:22" s="2" customFormat="1" x14ac:dyDescent="0.2">
      <c r="A174" s="31" t="s">
        <v>74</v>
      </c>
      <c r="B174" s="5">
        <v>2016</v>
      </c>
      <c r="C174" s="8">
        <v>6.2636678767978493</v>
      </c>
      <c r="D174" s="4">
        <v>-2.3126669614817437</v>
      </c>
      <c r="E174" s="6">
        <v>3.8792216518256026E-2</v>
      </c>
      <c r="F174" s="8">
        <v>1.2789999999999999</v>
      </c>
      <c r="G174" s="4">
        <v>243502.85</v>
      </c>
      <c r="H174" s="7">
        <v>38.823224973430051</v>
      </c>
      <c r="I174" s="4">
        <v>11743.406075159999</v>
      </c>
      <c r="J174" s="8">
        <v>3.9430000000000001</v>
      </c>
      <c r="K174" s="8">
        <v>46.9968</v>
      </c>
      <c r="L174" s="7">
        <v>1</v>
      </c>
      <c r="M174" s="8">
        <v>144.1806</v>
      </c>
      <c r="N174" s="8">
        <v>9.9805887736613972</v>
      </c>
      <c r="O174" s="8">
        <v>5.1203745184816817E-3</v>
      </c>
      <c r="P174" s="8">
        <v>6.9211382449367753E-2</v>
      </c>
      <c r="Q174" s="8">
        <v>3.216852302790878</v>
      </c>
      <c r="R174" s="3">
        <v>9.5563584640708556E-3</v>
      </c>
      <c r="S174" s="33">
        <v>9.0896369032459928E-2</v>
      </c>
      <c r="T174" s="32">
        <v>29.6</v>
      </c>
      <c r="U174" s="34">
        <v>0.16582907499999999</v>
      </c>
      <c r="V174">
        <v>67.195312807389399</v>
      </c>
    </row>
    <row r="175" spans="1:22" s="2" customFormat="1" x14ac:dyDescent="0.2">
      <c r="A175" s="31" t="s">
        <v>74</v>
      </c>
      <c r="B175" s="5">
        <v>2017</v>
      </c>
      <c r="C175" s="8">
        <v>6.1495569069642899</v>
      </c>
      <c r="D175" s="4">
        <v>1.3551116241186829</v>
      </c>
      <c r="E175" s="6">
        <v>-1.5956438813168883E-3</v>
      </c>
      <c r="F175" s="8">
        <v>1.3615999999999999</v>
      </c>
      <c r="G175" s="4">
        <v>353041.79000000004</v>
      </c>
      <c r="H175" s="7">
        <v>44.984664450539299</v>
      </c>
      <c r="I175" s="4">
        <v>16263.684689200001</v>
      </c>
      <c r="J175" s="8">
        <v>4.1841999999999997</v>
      </c>
      <c r="K175" s="8">
        <v>46.736699999999999</v>
      </c>
      <c r="L175" s="7">
        <v>1</v>
      </c>
      <c r="M175" s="8">
        <v>111.65479999999999</v>
      </c>
      <c r="N175" s="8">
        <v>10.223475611426112</v>
      </c>
      <c r="O175" s="8">
        <v>5.4175845012919607E-3</v>
      </c>
      <c r="P175" s="8">
        <v>0.10415037247248431</v>
      </c>
      <c r="Q175" s="8">
        <v>2.909127439778131</v>
      </c>
      <c r="R175" s="3">
        <v>8.9827360074978841E-3</v>
      </c>
      <c r="S175" s="33">
        <v>0.15542873309395608</v>
      </c>
      <c r="T175" s="32">
        <v>32.6</v>
      </c>
      <c r="U175" s="34">
        <v>0.18246399999999999</v>
      </c>
      <c r="V175">
        <v>65.121568645066006</v>
      </c>
    </row>
    <row r="176" spans="1:22" s="2" customFormat="1" x14ac:dyDescent="0.2">
      <c r="A176" s="31" t="s">
        <v>74</v>
      </c>
      <c r="B176" s="5">
        <v>2018</v>
      </c>
      <c r="C176" s="8">
        <v>6.1597019909325113</v>
      </c>
      <c r="D176" s="4">
        <v>1.2540237081795564</v>
      </c>
      <c r="E176" s="6">
        <v>3.199794979556545E-3</v>
      </c>
      <c r="F176" s="8">
        <v>1.379</v>
      </c>
      <c r="G176" s="4">
        <v>596971.49</v>
      </c>
      <c r="H176" s="7">
        <v>69.093718338557011</v>
      </c>
      <c r="I176" s="4">
        <v>26174.124766929999</v>
      </c>
      <c r="J176" s="8">
        <v>4.1710000000000003</v>
      </c>
      <c r="K176" s="8">
        <v>45.653599999999997</v>
      </c>
      <c r="L176" s="7">
        <v>1</v>
      </c>
      <c r="M176" s="8">
        <v>163.38679999999999</v>
      </c>
      <c r="N176" s="8">
        <v>10.434800865948317</v>
      </c>
      <c r="O176" s="8">
        <v>6.5740584233704479E-3</v>
      </c>
      <c r="P176" s="8">
        <v>5.4988120380209796E-2</v>
      </c>
      <c r="Q176" s="8">
        <v>2.7130722435241097</v>
      </c>
      <c r="R176" s="3">
        <v>9.6223683820920898E-3</v>
      </c>
      <c r="S176" s="33">
        <v>1.9406327007352973E-2</v>
      </c>
      <c r="T176" s="32">
        <v>36</v>
      </c>
      <c r="U176" s="34">
        <v>7.0109500000000005E-2</v>
      </c>
      <c r="V176">
        <v>68.389467093542095</v>
      </c>
    </row>
    <row r="177" spans="1:22" s="2" customFormat="1" x14ac:dyDescent="0.2">
      <c r="A177" s="31" t="s">
        <v>74</v>
      </c>
      <c r="B177" s="5">
        <v>2019</v>
      </c>
      <c r="C177" s="8">
        <v>4.5811853114051804</v>
      </c>
      <c r="D177" s="4">
        <v>2.1442941982817492</v>
      </c>
      <c r="E177" s="6">
        <v>3.6954030329223063E-3</v>
      </c>
      <c r="F177" s="8">
        <v>1.2901</v>
      </c>
      <c r="G177" s="4">
        <v>875685.54</v>
      </c>
      <c r="H177" s="7">
        <v>46.688000125433135</v>
      </c>
      <c r="I177" s="4">
        <v>56940.112508160004</v>
      </c>
      <c r="J177" s="8">
        <v>3.9281000000000001</v>
      </c>
      <c r="K177" s="8">
        <v>44.731499999999997</v>
      </c>
      <c r="L177" s="7">
        <v>1</v>
      </c>
      <c r="M177" s="8">
        <v>179.46700000000001</v>
      </c>
      <c r="N177" s="8">
        <v>10.598535243481578</v>
      </c>
      <c r="O177" s="8">
        <v>9.0334747098786399E-3</v>
      </c>
      <c r="P177" s="8">
        <v>5.1127274341327841E-2</v>
      </c>
      <c r="Q177" s="8">
        <v>2.6937881659474026</v>
      </c>
      <c r="R177" s="3">
        <v>9.6523155823958554E-3</v>
      </c>
      <c r="S177" s="33">
        <v>4.9086221200260238E-2</v>
      </c>
      <c r="T177" s="32">
        <v>36.700000000000003</v>
      </c>
      <c r="U177" s="34">
        <v>0.19089490833333334</v>
      </c>
      <c r="V177">
        <v>70.420340535955106</v>
      </c>
    </row>
    <row r="178" spans="1:22" s="2" customFormat="1" x14ac:dyDescent="0.2">
      <c r="A178" s="31" t="s">
        <v>74</v>
      </c>
      <c r="B178" s="5">
        <v>2020</v>
      </c>
      <c r="C178" s="8">
        <v>5.3029827714460236</v>
      </c>
      <c r="D178" s="4">
        <v>1.6238981370666754</v>
      </c>
      <c r="E178" s="6">
        <v>3.8889581445087272E-2</v>
      </c>
      <c r="F178" s="8">
        <v>0.96619999999999995</v>
      </c>
      <c r="G178" s="4">
        <v>881106.94</v>
      </c>
      <c r="H178" s="7">
        <v>0.6191035197406487</v>
      </c>
      <c r="I178" s="4">
        <v>68282.352950879998</v>
      </c>
      <c r="J178" s="8">
        <v>4.5979999999999999</v>
      </c>
      <c r="K178" s="8">
        <v>44.143099999999997</v>
      </c>
      <c r="L178" s="7">
        <v>0</v>
      </c>
      <c r="M178" s="8">
        <v>176.21270000000001</v>
      </c>
      <c r="N178" s="8">
        <v>10.615474075503872</v>
      </c>
      <c r="O178" s="8">
        <v>1.5521368129140076E-2</v>
      </c>
      <c r="P178" s="8">
        <v>5.2836007618098528E-2</v>
      </c>
      <c r="Q178" s="8">
        <v>2.7075972783607929</v>
      </c>
      <c r="R178" s="3">
        <v>1.039679062377839E-2</v>
      </c>
      <c r="S178" s="33">
        <v>-5.7839783974402245E-2</v>
      </c>
      <c r="T178" s="32">
        <v>41.3</v>
      </c>
      <c r="U178" s="34">
        <v>0.12185847500000001</v>
      </c>
      <c r="V178">
        <v>74.099566883605206</v>
      </c>
    </row>
    <row r="179" spans="1:22" s="2" customFormat="1" x14ac:dyDescent="0.2">
      <c r="A179" s="31" t="s">
        <v>74</v>
      </c>
      <c r="B179" s="5">
        <v>2021</v>
      </c>
      <c r="C179" s="8">
        <v>3.2074500489492697</v>
      </c>
      <c r="D179" s="4">
        <v>-5.1495321964646799</v>
      </c>
      <c r="E179" s="6">
        <v>7.7506500867118175E-2</v>
      </c>
      <c r="F179" s="8">
        <v>1.0834999999999999</v>
      </c>
      <c r="G179" s="4">
        <v>763829.3</v>
      </c>
      <c r="H179" s="7">
        <v>-13.310261748704407</v>
      </c>
      <c r="I179" s="4">
        <v>79206.138423680008</v>
      </c>
      <c r="J179" s="8">
        <v>4.5275999999999996</v>
      </c>
      <c r="K179" s="8">
        <v>41.731499999999997</v>
      </c>
      <c r="L179" s="7">
        <v>1</v>
      </c>
      <c r="M179" s="8">
        <v>119.503</v>
      </c>
      <c r="N179" s="8">
        <v>10.811807453573564</v>
      </c>
      <c r="O179" s="8">
        <v>1.9908457424674446E-2</v>
      </c>
      <c r="P179" s="8">
        <v>0.15050486288614298</v>
      </c>
      <c r="Q179" s="8">
        <v>3.9374575215277776</v>
      </c>
      <c r="R179" s="3">
        <v>8.4774996813556536E-3</v>
      </c>
      <c r="S179" s="33">
        <v>0.1791856081844693</v>
      </c>
      <c r="T179" s="32">
        <v>39.4</v>
      </c>
      <c r="U179" s="34">
        <v>6.0301849999999997E-2</v>
      </c>
      <c r="V179">
        <v>73.918012815435105</v>
      </c>
    </row>
    <row r="180" spans="1:22" s="2" customFormat="1" x14ac:dyDescent="0.2">
      <c r="A180" s="31" t="s">
        <v>74</v>
      </c>
      <c r="B180" s="5">
        <v>2022</v>
      </c>
      <c r="C180" s="8">
        <v>4.4322491013963159</v>
      </c>
      <c r="D180" s="4">
        <v>-0.26291452460960923</v>
      </c>
      <c r="E180" s="6">
        <v>2.4810677990785804E-2</v>
      </c>
      <c r="F180" s="8">
        <v>1.0608</v>
      </c>
      <c r="G180" s="4">
        <v>838823.33</v>
      </c>
      <c r="H180" s="7">
        <v>9.8181661792759076</v>
      </c>
      <c r="I180" s="4">
        <v>72675.232951500002</v>
      </c>
      <c r="J180" s="8">
        <v>4.6329000000000002</v>
      </c>
      <c r="K180" s="8">
        <v>43.190800000000003</v>
      </c>
      <c r="L180" s="7">
        <v>1</v>
      </c>
      <c r="M180" s="8">
        <v>100.2938</v>
      </c>
      <c r="N180" s="8">
        <v>10.877122036407387</v>
      </c>
      <c r="O180" s="8">
        <v>1.6406099542639843E-2</v>
      </c>
      <c r="P180" s="8">
        <v>0.15797480060228647</v>
      </c>
      <c r="Q180" s="8">
        <v>2.4595120115120577</v>
      </c>
      <c r="R180" s="3">
        <v>8.2849628528822404E-3</v>
      </c>
      <c r="S180" s="33">
        <v>7.452704133482646E-2</v>
      </c>
      <c r="T180" s="32">
        <v>40.9</v>
      </c>
      <c r="U180" s="34">
        <v>0.19755554166666667</v>
      </c>
      <c r="V180">
        <v>78.604490582991602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7FB5-3055-A848-BE0E-BEF3F7270E0B}">
  <dimension ref="A1:V80"/>
  <sheetViews>
    <sheetView zoomScale="85" zoomScaleNormal="85" workbookViewId="0">
      <selection sqref="A1:XFD1"/>
    </sheetView>
  </sheetViews>
  <sheetFormatPr baseColWidth="10" defaultColWidth="11" defaultRowHeight="16" x14ac:dyDescent="0.2"/>
  <cols>
    <col min="1" max="1" width="28.33203125" style="1" bestFit="1" customWidth="1"/>
    <col min="2" max="4" width="10.83203125" style="1"/>
    <col min="5" max="8" width="14.33203125" style="1" customWidth="1"/>
    <col min="9" max="9" width="14" style="1" customWidth="1"/>
    <col min="10" max="10" width="10.5" style="1" customWidth="1"/>
    <col min="11" max="17" width="10.83203125" style="1"/>
    <col min="18" max="18" width="15.5" style="1" customWidth="1"/>
    <col min="19" max="22" width="10.83203125" style="1"/>
  </cols>
  <sheetData>
    <row r="1" spans="1:22" s="17" customFormat="1" ht="81" customHeight="1" x14ac:dyDescent="0.2">
      <c r="A1" s="17" t="s">
        <v>0</v>
      </c>
      <c r="B1" s="17" t="s">
        <v>1</v>
      </c>
      <c r="C1" s="45" t="s">
        <v>102</v>
      </c>
      <c r="D1" s="45" t="s">
        <v>103</v>
      </c>
      <c r="E1" s="46" t="s">
        <v>104</v>
      </c>
      <c r="F1" s="45" t="s">
        <v>105</v>
      </c>
      <c r="G1" s="45" t="s">
        <v>10</v>
      </c>
      <c r="H1" s="18" t="s">
        <v>87</v>
      </c>
      <c r="I1" s="18" t="s">
        <v>2</v>
      </c>
      <c r="J1" s="18" t="s">
        <v>3</v>
      </c>
      <c r="K1" s="45" t="s">
        <v>4</v>
      </c>
      <c r="L1" s="18" t="s">
        <v>5</v>
      </c>
      <c r="M1" s="18" t="s">
        <v>6</v>
      </c>
      <c r="N1" s="45" t="s">
        <v>106</v>
      </c>
      <c r="O1" s="45" t="s">
        <v>107</v>
      </c>
      <c r="P1" s="45" t="s">
        <v>108</v>
      </c>
      <c r="Q1" s="45" t="s">
        <v>109</v>
      </c>
      <c r="R1" s="19" t="s">
        <v>7</v>
      </c>
      <c r="S1" s="17" t="s">
        <v>8</v>
      </c>
      <c r="T1" s="17" t="s">
        <v>101</v>
      </c>
      <c r="U1" s="17" t="s">
        <v>9</v>
      </c>
      <c r="V1" s="17" t="s">
        <v>100</v>
      </c>
    </row>
    <row r="2" spans="1:22" x14ac:dyDescent="0.2">
      <c r="A2" s="35" t="s">
        <v>69</v>
      </c>
      <c r="B2" s="36">
        <v>2014</v>
      </c>
      <c r="C2" s="37">
        <v>10.804048597461358</v>
      </c>
      <c r="D2" s="37">
        <v>1.2324741384311853</v>
      </c>
      <c r="E2" s="40">
        <v>4.4446925688219749E-3</v>
      </c>
      <c r="F2" s="37">
        <v>1.0209999999999999</v>
      </c>
      <c r="G2" s="37">
        <v>1382085</v>
      </c>
      <c r="H2" s="38">
        <v>99.178977678050302</v>
      </c>
      <c r="I2" s="37">
        <v>449750.15464299999</v>
      </c>
      <c r="J2" s="37">
        <v>2.6396999999999999</v>
      </c>
      <c r="K2" s="37">
        <v>37.0092</v>
      </c>
      <c r="L2" s="38">
        <v>1</v>
      </c>
      <c r="M2" s="37">
        <v>305.9427</v>
      </c>
      <c r="N2" s="37">
        <v>13.544080237737226</v>
      </c>
      <c r="O2" s="37">
        <v>2.5921678571467304E-2</v>
      </c>
      <c r="P2" s="38">
        <v>9.9757139039319986E-2</v>
      </c>
      <c r="Q2" s="37">
        <v>1.5126172038821588</v>
      </c>
      <c r="R2" s="41">
        <v>7.5590032645810861E-3</v>
      </c>
      <c r="S2" s="33">
        <v>9.457781607341903E-2</v>
      </c>
      <c r="T2" s="36">
        <v>99.9</v>
      </c>
      <c r="U2" s="34">
        <v>0.12046267500000001</v>
      </c>
      <c r="V2">
        <v>6.1434340944886703</v>
      </c>
    </row>
    <row r="3" spans="1:22" x14ac:dyDescent="0.2">
      <c r="A3" s="35" t="s">
        <v>69</v>
      </c>
      <c r="B3" s="36">
        <v>2015</v>
      </c>
      <c r="C3" s="37">
        <v>9.613336024888012</v>
      </c>
      <c r="D3" s="37">
        <v>1.0201543115372793</v>
      </c>
      <c r="E3" s="40">
        <v>1.756499840063459E-2</v>
      </c>
      <c r="F3" s="37">
        <v>1.0146999999999999</v>
      </c>
      <c r="G3" s="37">
        <v>2337686</v>
      </c>
      <c r="H3" s="38">
        <v>69.141984754917388</v>
      </c>
      <c r="I3" s="37">
        <v>730756.60118573008</v>
      </c>
      <c r="J3" s="37">
        <v>2.7690999999999999</v>
      </c>
      <c r="K3" s="37">
        <v>33.6145</v>
      </c>
      <c r="L3" s="38">
        <v>1</v>
      </c>
      <c r="M3" s="37">
        <v>380.1832</v>
      </c>
      <c r="N3" s="37">
        <v>13.64582156690032</v>
      </c>
      <c r="O3" s="37">
        <v>3.0040158749771815E-2</v>
      </c>
      <c r="P3" s="38">
        <v>0.11627059129720073</v>
      </c>
      <c r="Q3" s="37">
        <v>1.3128644382274741</v>
      </c>
      <c r="R3" s="41">
        <v>7.8748909948962893E-3</v>
      </c>
      <c r="S3" s="33">
        <v>5.5934460075526035E-2</v>
      </c>
      <c r="T3" s="36">
        <v>40.6</v>
      </c>
      <c r="U3" s="34">
        <v>0.11306368333333332</v>
      </c>
      <c r="V3">
        <v>6.22748867298455</v>
      </c>
    </row>
    <row r="4" spans="1:22" x14ac:dyDescent="0.2">
      <c r="A4" s="35" t="s">
        <v>69</v>
      </c>
      <c r="B4" s="36">
        <v>2016</v>
      </c>
      <c r="C4" s="37">
        <v>9.2823724487045762</v>
      </c>
      <c r="D4" s="37">
        <v>0.55219877593952571</v>
      </c>
      <c r="E4" s="40">
        <v>7.1124149015737203E-3</v>
      </c>
      <c r="F4" s="37">
        <v>1.006</v>
      </c>
      <c r="G4" s="37">
        <v>2667774</v>
      </c>
      <c r="H4" s="38">
        <v>14.120288182416289</v>
      </c>
      <c r="I4" s="37">
        <v>880767.33787979989</v>
      </c>
      <c r="J4" s="37">
        <v>2.4992999999999999</v>
      </c>
      <c r="K4" s="37">
        <v>31.908000000000001</v>
      </c>
      <c r="L4" s="38">
        <v>1</v>
      </c>
      <c r="M4" s="37">
        <v>389.8768</v>
      </c>
      <c r="N4" s="37">
        <v>13.660350127009893</v>
      </c>
      <c r="O4" s="37">
        <v>3.373475202997684E-2</v>
      </c>
      <c r="P4" s="38">
        <v>8.94135972271346E-2</v>
      </c>
      <c r="Q4" s="37">
        <v>1.0357783100169675</v>
      </c>
      <c r="R4" s="41">
        <v>8.5787407451015079E-3</v>
      </c>
      <c r="S4" s="33">
        <v>1.5525894567969992E-2</v>
      </c>
      <c r="T4" s="36">
        <v>40.6</v>
      </c>
      <c r="U4" s="34">
        <v>0.10788815833333336</v>
      </c>
      <c r="V4">
        <v>6.6444778294468003</v>
      </c>
    </row>
    <row r="5" spans="1:22" x14ac:dyDescent="0.2">
      <c r="A5" s="35" t="s">
        <v>69</v>
      </c>
      <c r="B5" s="36">
        <v>2017</v>
      </c>
      <c r="C5" s="37">
        <v>9.8252972851465543</v>
      </c>
      <c r="D5" s="37">
        <v>2.6551868425372458</v>
      </c>
      <c r="E5" s="40">
        <v>-1.0296787784893489E-2</v>
      </c>
      <c r="F5" s="37">
        <v>1.0454000000000001</v>
      </c>
      <c r="G5" s="37">
        <v>3488435</v>
      </c>
      <c r="H5" s="38">
        <v>30.762013573863456</v>
      </c>
      <c r="I5" s="37">
        <v>882019.68886759004</v>
      </c>
      <c r="J5" s="37">
        <v>2.4277000000000002</v>
      </c>
      <c r="K5" s="37">
        <v>32.008400000000002</v>
      </c>
      <c r="L5" s="38">
        <v>1</v>
      </c>
      <c r="M5" s="37">
        <v>316.06889999999999</v>
      </c>
      <c r="N5" s="37">
        <v>13.782852785198957</v>
      </c>
      <c r="O5" s="37">
        <v>4.2196393663928869E-2</v>
      </c>
      <c r="P5" s="38">
        <v>7.3073683312108617E-2</v>
      </c>
      <c r="Q5" s="37">
        <v>1.0833054601278209</v>
      </c>
      <c r="R5" s="41">
        <v>8.726564508576359E-3</v>
      </c>
      <c r="S5" s="33">
        <v>9.5891306540979396E-2</v>
      </c>
      <c r="T5" s="36">
        <v>39.299999999999997</v>
      </c>
      <c r="U5" s="34">
        <v>0.10495592499999999</v>
      </c>
      <c r="V5">
        <v>6.7587550863359702</v>
      </c>
    </row>
    <row r="6" spans="1:22" x14ac:dyDescent="0.2">
      <c r="A6" s="35" t="s">
        <v>69</v>
      </c>
      <c r="B6" s="36">
        <v>2018</v>
      </c>
      <c r="C6" s="37">
        <v>10.571880197829206</v>
      </c>
      <c r="D6" s="37">
        <v>2.2107915514198067</v>
      </c>
      <c r="E6" s="40">
        <v>-1.9303315586244852E-3</v>
      </c>
      <c r="F6" s="37">
        <v>1.0192000000000001</v>
      </c>
      <c r="G6" s="37">
        <v>6105186</v>
      </c>
      <c r="H6" s="38">
        <v>75.012175947093752</v>
      </c>
      <c r="I6" s="37">
        <v>779360.44724964001</v>
      </c>
      <c r="J6" s="37">
        <v>2.5682</v>
      </c>
      <c r="K6" s="37">
        <v>32.820099999999996</v>
      </c>
      <c r="L6" s="38">
        <v>1</v>
      </c>
      <c r="M6" s="37">
        <v>286.31689999999998</v>
      </c>
      <c r="N6" s="37">
        <v>13.796019516944048</v>
      </c>
      <c r="O6" s="37">
        <v>4.8681530800343285E-2</v>
      </c>
      <c r="P6" s="38">
        <v>8.0579054458220251E-2</v>
      </c>
      <c r="Q6" s="37">
        <v>1.0507567414400798</v>
      </c>
      <c r="R6" s="41">
        <v>8.8495399730002741E-3</v>
      </c>
      <c r="S6" s="33">
        <v>0.12870455661971003</v>
      </c>
      <c r="T6" s="36">
        <v>37.9</v>
      </c>
      <c r="U6" s="34">
        <v>0.14311219999999999</v>
      </c>
      <c r="V6">
        <v>6.6159571773543897</v>
      </c>
    </row>
    <row r="7" spans="1:22" x14ac:dyDescent="0.2">
      <c r="A7" s="35" t="s">
        <v>69</v>
      </c>
      <c r="B7" s="36">
        <v>2019</v>
      </c>
      <c r="C7" s="37">
        <v>11.204905810358364</v>
      </c>
      <c r="D7" s="37">
        <v>1.3178233158563464</v>
      </c>
      <c r="E7" s="40">
        <v>3.2707789210671833E-3</v>
      </c>
      <c r="F7" s="37">
        <v>1.0488999999999999</v>
      </c>
      <c r="G7" s="37">
        <v>5922522</v>
      </c>
      <c r="H7" s="38">
        <v>-2.9919481568620512</v>
      </c>
      <c r="I7" s="37">
        <v>750752.96</v>
      </c>
      <c r="J7" s="37">
        <v>2.5874000000000001</v>
      </c>
      <c r="K7" s="37">
        <v>34.132399999999997</v>
      </c>
      <c r="L7" s="38">
        <v>1</v>
      </c>
      <c r="M7" s="37">
        <v>276.90690000000001</v>
      </c>
      <c r="N7" s="37">
        <v>13.878673132921914</v>
      </c>
      <c r="O7" s="37">
        <v>4.9530920772506891E-2</v>
      </c>
      <c r="P7" s="38">
        <v>7.9537569977684824E-2</v>
      </c>
      <c r="Q7" s="37">
        <v>1.0389484387544892</v>
      </c>
      <c r="R7" s="41">
        <v>9.1820172102299105E-3</v>
      </c>
      <c r="S7" s="33">
        <v>2.7712383170145276E-2</v>
      </c>
      <c r="T7" s="36">
        <v>37.700000000000003</v>
      </c>
      <c r="U7" s="34">
        <v>0.29669430000000002</v>
      </c>
      <c r="V7">
        <v>6.9083850099290096</v>
      </c>
    </row>
    <row r="8" spans="1:22" x14ac:dyDescent="0.2">
      <c r="A8" s="35" t="s">
        <v>69</v>
      </c>
      <c r="B8" s="36">
        <v>2020</v>
      </c>
      <c r="C8" s="37">
        <v>10.614169972726714</v>
      </c>
      <c r="D8" s="37">
        <v>-35.343103361579935</v>
      </c>
      <c r="E8" s="40">
        <v>0.37703734121309213</v>
      </c>
      <c r="F8" s="37">
        <v>1.0546</v>
      </c>
      <c r="G8" s="37">
        <v>4715670</v>
      </c>
      <c r="H8" s="38">
        <v>-20.377332494501498</v>
      </c>
      <c r="I8" s="37">
        <v>821377.2</v>
      </c>
      <c r="J8" s="37">
        <v>2.4861</v>
      </c>
      <c r="K8" s="37">
        <v>35.774099999999997</v>
      </c>
      <c r="L8" s="38">
        <v>1</v>
      </c>
      <c r="M8" s="37">
        <v>230.4871</v>
      </c>
      <c r="N8" s="37">
        <v>14.063151580878872</v>
      </c>
      <c r="O8" s="37">
        <v>4.6542457987050478E-2</v>
      </c>
      <c r="P8" s="38">
        <v>6.6084235014518947E-2</v>
      </c>
      <c r="Q8" s="37">
        <v>1.0237121403208551</v>
      </c>
      <c r="R8" s="41">
        <v>8.8673006688334225E-3</v>
      </c>
      <c r="S8" s="33">
        <v>2.8555740275520065E-2</v>
      </c>
      <c r="T8" s="36">
        <v>37.9</v>
      </c>
      <c r="U8" s="34">
        <v>0.27519169999999998</v>
      </c>
      <c r="V8">
        <v>6.9007672694492497</v>
      </c>
    </row>
    <row r="9" spans="1:22" x14ac:dyDescent="0.2">
      <c r="A9" s="35" t="s">
        <v>69</v>
      </c>
      <c r="B9" s="36">
        <v>2021</v>
      </c>
      <c r="C9" s="37">
        <v>11.693550280248539</v>
      </c>
      <c r="D9" s="37">
        <v>0.7997448635041301</v>
      </c>
      <c r="E9" s="40">
        <v>1.3282667457567281E-2</v>
      </c>
      <c r="F9" s="37">
        <v>1.054</v>
      </c>
      <c r="G9" s="37">
        <v>3967807</v>
      </c>
      <c r="H9" s="38">
        <v>-15.859103796491272</v>
      </c>
      <c r="I9" s="37">
        <v>800159.49000000011</v>
      </c>
      <c r="J9" s="37">
        <v>2.4809000000000001</v>
      </c>
      <c r="K9" s="37">
        <v>35.701700000000002</v>
      </c>
      <c r="L9" s="38">
        <v>1</v>
      </c>
      <c r="M9" s="37">
        <v>195.3441</v>
      </c>
      <c r="N9" s="37">
        <v>14.19058518474837</v>
      </c>
      <c r="O9" s="37">
        <v>4.3988363882000101E-2</v>
      </c>
      <c r="P9" s="38">
        <v>8.663456098243047E-2</v>
      </c>
      <c r="Q9" s="37">
        <v>0.85426971683448216</v>
      </c>
      <c r="R9" s="41">
        <v>8.7260163486364787E-3</v>
      </c>
      <c r="S9" s="33">
        <v>0.21328775065622899</v>
      </c>
      <c r="T9" s="36">
        <v>38.5</v>
      </c>
      <c r="U9" s="34">
        <v>0.17849286666666667</v>
      </c>
      <c r="V9">
        <v>6.4489751802431599</v>
      </c>
    </row>
    <row r="10" spans="1:22" x14ac:dyDescent="0.2">
      <c r="A10" s="35" t="s">
        <v>69</v>
      </c>
      <c r="B10" s="36">
        <v>2022</v>
      </c>
      <c r="C10" s="37">
        <v>12.194208733957698</v>
      </c>
      <c r="D10" s="37">
        <v>1.4851085849319545</v>
      </c>
      <c r="E10" s="40">
        <v>9.9538387132470079E-3</v>
      </c>
      <c r="F10" s="37">
        <v>1.0119</v>
      </c>
      <c r="G10" s="37">
        <v>2509725</v>
      </c>
      <c r="H10" s="38">
        <v>-36.74780552582321</v>
      </c>
      <c r="I10" s="37">
        <v>840815.37000000011</v>
      </c>
      <c r="J10" s="37">
        <v>2.403</v>
      </c>
      <c r="K10" s="37">
        <v>35.667900000000003</v>
      </c>
      <c r="L10" s="38">
        <v>1</v>
      </c>
      <c r="M10" s="37">
        <v>135.87790000000001</v>
      </c>
      <c r="N10" s="37">
        <v>14.200568856294776</v>
      </c>
      <c r="O10" s="37">
        <v>4.2184177792286413E-2</v>
      </c>
      <c r="P10" s="38">
        <v>5.5931556573213699E-2</v>
      </c>
      <c r="Q10" s="37">
        <v>0.83121140741049693</v>
      </c>
      <c r="R10" s="41">
        <v>7.9710650811758311E-3</v>
      </c>
      <c r="S10" s="33">
        <v>8.0082772214906672E-3</v>
      </c>
      <c r="T10" s="36">
        <v>38.299999999999997</v>
      </c>
      <c r="U10" s="34">
        <v>0.37974000833333332</v>
      </c>
      <c r="V10">
        <v>6.7371581123711897</v>
      </c>
    </row>
    <row r="11" spans="1:22" x14ac:dyDescent="0.2">
      <c r="A11" s="35"/>
      <c r="B11" s="36"/>
      <c r="C11" s="37"/>
      <c r="D11" s="37"/>
      <c r="E11" s="40"/>
      <c r="F11" s="37"/>
      <c r="G11" s="37"/>
      <c r="H11" s="38"/>
      <c r="I11" s="37"/>
      <c r="J11" s="37"/>
      <c r="K11" s="37"/>
      <c r="L11" s="38"/>
      <c r="M11" s="37"/>
      <c r="N11" s="37"/>
      <c r="O11" s="37"/>
      <c r="P11" s="38"/>
      <c r="Q11" s="37"/>
      <c r="R11" s="41"/>
      <c r="S11" s="33"/>
      <c r="T11" s="36"/>
      <c r="U11" s="34"/>
      <c r="V11"/>
    </row>
    <row r="12" spans="1:22" x14ac:dyDescent="0.2">
      <c r="A12" s="35" t="s">
        <v>78</v>
      </c>
      <c r="B12" s="36">
        <v>2014</v>
      </c>
      <c r="C12" s="37">
        <v>10.291162403767924</v>
      </c>
      <c r="D12" s="37">
        <v>1.2242783917187512</v>
      </c>
      <c r="E12" s="40">
        <v>7.4226153689038732E-3</v>
      </c>
      <c r="F12" s="37">
        <v>1.0127999999999999</v>
      </c>
      <c r="G12" s="37">
        <v>1425552</v>
      </c>
      <c r="H12" s="38">
        <v>61.417660746536527</v>
      </c>
      <c r="I12" s="37">
        <v>282596.16618371999</v>
      </c>
      <c r="J12" s="37">
        <v>2.4767000000000001</v>
      </c>
      <c r="K12" s="37">
        <v>33.070599999999999</v>
      </c>
      <c r="L12" s="38">
        <v>1</v>
      </c>
      <c r="M12" s="37">
        <v>637.88379999999995</v>
      </c>
      <c r="N12" s="37">
        <v>13.472826231887533</v>
      </c>
      <c r="O12" s="37">
        <v>2.7552995897453414E-2</v>
      </c>
      <c r="P12" s="38">
        <v>8.1144319780019666E-2</v>
      </c>
      <c r="Q12" s="37">
        <v>2.0667823550511599</v>
      </c>
      <c r="R12" s="41">
        <v>7.0251445109830099E-3</v>
      </c>
      <c r="S12" s="33">
        <v>9.457781607341903E-2</v>
      </c>
      <c r="T12" s="36">
        <v>99.9</v>
      </c>
      <c r="U12" s="34">
        <v>0.12046267500000001</v>
      </c>
      <c r="V12">
        <v>6.1434340944886703</v>
      </c>
    </row>
    <row r="13" spans="1:22" x14ac:dyDescent="0.2">
      <c r="A13" s="35" t="s">
        <v>78</v>
      </c>
      <c r="B13" s="36">
        <v>2015</v>
      </c>
      <c r="C13" s="37">
        <v>9.192142453798029</v>
      </c>
      <c r="D13" s="37">
        <v>1.3527620667322386</v>
      </c>
      <c r="E13" s="40">
        <v>1.6360419899865145E-2</v>
      </c>
      <c r="F13" s="37">
        <v>1.0022</v>
      </c>
      <c r="G13" s="37">
        <v>1964403</v>
      </c>
      <c r="H13" s="38">
        <v>37.799462944880297</v>
      </c>
      <c r="I13" s="37">
        <v>400468.72662028996</v>
      </c>
      <c r="J13" s="37">
        <v>2.4510999999999998</v>
      </c>
      <c r="K13" s="37">
        <v>32.462000000000003</v>
      </c>
      <c r="L13" s="38">
        <v>1</v>
      </c>
      <c r="M13" s="37">
        <v>756.17830000000004</v>
      </c>
      <c r="N13" s="37">
        <v>13.613128786924669</v>
      </c>
      <c r="O13" s="37">
        <v>3.0676494740423204E-2</v>
      </c>
      <c r="P13" s="38">
        <v>8.8003899069911906E-2</v>
      </c>
      <c r="Q13" s="37">
        <v>2.1769888724544129</v>
      </c>
      <c r="R13" s="41">
        <v>7.1636969098131786E-3</v>
      </c>
      <c r="S13" s="33">
        <v>5.5934460075526035E-2</v>
      </c>
      <c r="T13" s="36">
        <v>40.6</v>
      </c>
      <c r="U13" s="34">
        <v>0.11306368333333332</v>
      </c>
      <c r="V13">
        <v>6.22748867298455</v>
      </c>
    </row>
    <row r="14" spans="1:22" x14ac:dyDescent="0.2">
      <c r="A14" s="35" t="s">
        <v>78</v>
      </c>
      <c r="B14" s="36">
        <v>2016</v>
      </c>
      <c r="C14" s="37">
        <v>8.4340879452590176</v>
      </c>
      <c r="D14" s="37">
        <v>0.47621683050047225</v>
      </c>
      <c r="E14" s="40">
        <v>6.6335683084347719E-3</v>
      </c>
      <c r="F14" s="37">
        <v>0.99729999999999996</v>
      </c>
      <c r="G14" s="37">
        <v>2355635</v>
      </c>
      <c r="H14" s="38">
        <v>19.916076283736075</v>
      </c>
      <c r="I14" s="37">
        <v>495925.41791130003</v>
      </c>
      <c r="J14" s="37">
        <v>2.1145</v>
      </c>
      <c r="K14" s="37">
        <v>27.9998</v>
      </c>
      <c r="L14" s="38">
        <v>1</v>
      </c>
      <c r="M14" s="37">
        <v>826.85450000000003</v>
      </c>
      <c r="N14" s="37">
        <v>13.684225810712444</v>
      </c>
      <c r="O14" s="37">
        <v>3.4833884295079359E-2</v>
      </c>
      <c r="P14" s="38">
        <v>7.1053015929519139E-2</v>
      </c>
      <c r="Q14" s="37">
        <v>1.9481989109236444</v>
      </c>
      <c r="R14" s="41">
        <v>7.7180246485312222E-3</v>
      </c>
      <c r="S14" s="33">
        <v>1.5525894567969992E-2</v>
      </c>
      <c r="T14" s="36">
        <v>40.6</v>
      </c>
      <c r="U14" s="34">
        <v>0.10788815833333336</v>
      </c>
      <c r="V14">
        <v>6.6444778294468003</v>
      </c>
    </row>
    <row r="15" spans="1:22" x14ac:dyDescent="0.2">
      <c r="A15" s="35" t="s">
        <v>78</v>
      </c>
      <c r="B15" s="36">
        <v>2017</v>
      </c>
      <c r="C15" s="37">
        <v>8.2379570057753231</v>
      </c>
      <c r="D15" s="37">
        <v>0.75590088813620682</v>
      </c>
      <c r="E15" s="40">
        <v>1.7700956300429004E-3</v>
      </c>
      <c r="F15" s="37">
        <v>0.99409999999999998</v>
      </c>
      <c r="G15" s="37">
        <v>4354535</v>
      </c>
      <c r="H15" s="38">
        <v>84.856100372086502</v>
      </c>
      <c r="I15" s="37">
        <v>594080.81220551999</v>
      </c>
      <c r="J15" s="37">
        <v>1.488</v>
      </c>
      <c r="K15" s="37">
        <v>30.245899999999999</v>
      </c>
      <c r="L15" s="38">
        <v>1</v>
      </c>
      <c r="M15" s="37">
        <v>652.58169999999996</v>
      </c>
      <c r="N15" s="37">
        <v>13.801604239071656</v>
      </c>
      <c r="O15" s="37">
        <v>3.3679256284400119E-2</v>
      </c>
      <c r="P15" s="38">
        <v>8.467505219037344E-2</v>
      </c>
      <c r="Q15" s="37">
        <v>2.544799362254595</v>
      </c>
      <c r="R15" s="41">
        <v>7.8245071938258109E-3</v>
      </c>
      <c r="S15" s="33">
        <v>9.5891306540979396E-2</v>
      </c>
      <c r="T15" s="36">
        <v>39.299999999999997</v>
      </c>
      <c r="U15" s="34">
        <v>0.10495592499999999</v>
      </c>
      <c r="V15">
        <v>6.7587550863359702</v>
      </c>
    </row>
    <row r="16" spans="1:22" x14ac:dyDescent="0.2">
      <c r="A16" s="35" t="s">
        <v>78</v>
      </c>
      <c r="B16" s="36">
        <v>2018</v>
      </c>
      <c r="C16" s="37">
        <v>8.3473963959462676</v>
      </c>
      <c r="D16" s="37">
        <v>0.69467827612122879</v>
      </c>
      <c r="E16" s="40">
        <v>7.7064836650857895E-3</v>
      </c>
      <c r="F16" s="37">
        <v>0.98070000000000002</v>
      </c>
      <c r="G16" s="37">
        <v>6639033</v>
      </c>
      <c r="H16" s="38">
        <v>52.462501736695188</v>
      </c>
      <c r="I16" s="37">
        <v>670824.18947500002</v>
      </c>
      <c r="J16" s="37">
        <v>1.5706</v>
      </c>
      <c r="K16" s="37">
        <v>30.434000000000001</v>
      </c>
      <c r="L16" s="38">
        <v>1</v>
      </c>
      <c r="M16" s="37">
        <v>587.4769</v>
      </c>
      <c r="N16" s="37">
        <v>13.790955818358986</v>
      </c>
      <c r="O16" s="37">
        <v>3.2595203575575243E-2</v>
      </c>
      <c r="P16" s="38">
        <v>8.1806514645457809E-2</v>
      </c>
      <c r="Q16" s="37">
        <v>2.5857144907578244</v>
      </c>
      <c r="R16" s="41">
        <v>8.855547853225185E-3</v>
      </c>
      <c r="S16" s="33">
        <v>0.12870455661971003</v>
      </c>
      <c r="T16" s="36">
        <v>37.9</v>
      </c>
      <c r="U16" s="34">
        <v>0.14311219999999999</v>
      </c>
      <c r="V16">
        <v>6.6159571773543897</v>
      </c>
    </row>
    <row r="17" spans="1:22" x14ac:dyDescent="0.2">
      <c r="A17" s="35" t="s">
        <v>78</v>
      </c>
      <c r="B17" s="36">
        <v>2019</v>
      </c>
      <c r="C17" s="37">
        <v>8.6304831347366111</v>
      </c>
      <c r="D17" s="37">
        <v>0.96992861615354331</v>
      </c>
      <c r="E17" s="40">
        <v>7.1178572184974545E-3</v>
      </c>
      <c r="F17" s="37">
        <v>0.98960000000000004</v>
      </c>
      <c r="G17" s="37">
        <v>7452964</v>
      </c>
      <c r="H17" s="38">
        <v>12.25978241108306</v>
      </c>
      <c r="I17" s="37">
        <v>761440.4</v>
      </c>
      <c r="J17" s="37">
        <v>1.9679</v>
      </c>
      <c r="K17" s="37">
        <v>31.254799999999999</v>
      </c>
      <c r="L17" s="38">
        <v>1</v>
      </c>
      <c r="M17" s="37">
        <v>488.7593</v>
      </c>
      <c r="N17" s="37">
        <v>13.841373217490002</v>
      </c>
      <c r="O17" s="37">
        <v>2.7973956338372314E-2</v>
      </c>
      <c r="P17" s="38">
        <v>0.13064393913937594</v>
      </c>
      <c r="Q17" s="37">
        <v>2.2506987461917651</v>
      </c>
      <c r="R17" s="41">
        <v>9.0571968353469687E-3</v>
      </c>
      <c r="S17" s="33">
        <v>2.7712383170145276E-2</v>
      </c>
      <c r="T17" s="36">
        <v>37.700000000000003</v>
      </c>
      <c r="U17" s="34">
        <v>0.29669430000000002</v>
      </c>
      <c r="V17">
        <v>6.9083850099290096</v>
      </c>
    </row>
    <row r="18" spans="1:22" x14ac:dyDescent="0.2">
      <c r="A18" s="35" t="s">
        <v>78</v>
      </c>
      <c r="B18" s="36">
        <v>2020</v>
      </c>
      <c r="C18" s="37">
        <v>8.1058273713805811</v>
      </c>
      <c r="D18" s="37">
        <v>-28.94872931272937</v>
      </c>
      <c r="E18" s="40">
        <v>0.3115645639460734</v>
      </c>
      <c r="F18" s="37">
        <v>0.98780000000000001</v>
      </c>
      <c r="G18" s="37">
        <v>7044232</v>
      </c>
      <c r="H18" s="38">
        <v>-5.4841536870431682</v>
      </c>
      <c r="I18" s="37">
        <v>760712.6</v>
      </c>
      <c r="J18" s="37">
        <v>2.1295000000000002</v>
      </c>
      <c r="K18" s="37">
        <v>30.452200000000001</v>
      </c>
      <c r="L18" s="38">
        <v>1</v>
      </c>
      <c r="M18" s="37">
        <v>486.30450000000002</v>
      </c>
      <c r="N18" s="37">
        <v>14.00563492682125</v>
      </c>
      <c r="O18" s="37">
        <v>2.4801080395376478E-2</v>
      </c>
      <c r="P18" s="38">
        <v>0.1211534404692593</v>
      </c>
      <c r="Q18" s="37">
        <v>2.0939483931554896</v>
      </c>
      <c r="R18" s="41">
        <v>9.6949262028963867E-3</v>
      </c>
      <c r="S18" s="33">
        <v>2.8555740275520065E-2</v>
      </c>
      <c r="T18" s="36">
        <v>37.9</v>
      </c>
      <c r="U18" s="34">
        <v>0.27519169999999998</v>
      </c>
      <c r="V18">
        <v>6.9007672694492497</v>
      </c>
    </row>
    <row r="19" spans="1:22" x14ac:dyDescent="0.2">
      <c r="A19" s="35" t="s">
        <v>78</v>
      </c>
      <c r="B19" s="36">
        <v>2021</v>
      </c>
      <c r="C19" s="37">
        <v>9.0964768762498522</v>
      </c>
      <c r="D19" s="37">
        <v>1.3556717450517244</v>
      </c>
      <c r="E19" s="40">
        <v>8.289467075018828E-3</v>
      </c>
      <c r="F19" s="37">
        <v>0.97640000000000005</v>
      </c>
      <c r="G19" s="37">
        <v>6890250</v>
      </c>
      <c r="H19" s="38">
        <v>-2.1859302760045383</v>
      </c>
      <c r="I19" s="37">
        <v>766351.70000000007</v>
      </c>
      <c r="J19" s="37">
        <v>2.0306000000000002</v>
      </c>
      <c r="K19" s="37">
        <v>29.6722</v>
      </c>
      <c r="L19" s="38">
        <v>1</v>
      </c>
      <c r="M19" s="37">
        <v>491.40269999999998</v>
      </c>
      <c r="N19" s="37">
        <v>14.118204388036492</v>
      </c>
      <c r="O19" s="37">
        <v>2.6619721856972256E-2</v>
      </c>
      <c r="P19" s="38">
        <v>4.624442105605546E-2</v>
      </c>
      <c r="Q19" s="37">
        <v>1.784252417091247</v>
      </c>
      <c r="R19" s="41">
        <v>1.014025733437183E-2</v>
      </c>
      <c r="S19" s="33">
        <v>0.21328775065622899</v>
      </c>
      <c r="T19" s="36">
        <v>38.5</v>
      </c>
      <c r="U19" s="34">
        <v>0.17849286666666667</v>
      </c>
      <c r="V19">
        <v>6.4489751802431599</v>
      </c>
    </row>
    <row r="20" spans="1:22" x14ac:dyDescent="0.2">
      <c r="A20" s="35" t="s">
        <v>78</v>
      </c>
      <c r="B20" s="36">
        <v>2022</v>
      </c>
      <c r="C20" s="37">
        <v>9.2755039411996929</v>
      </c>
      <c r="D20" s="37">
        <v>0.30857138929470002</v>
      </c>
      <c r="E20" s="40">
        <v>1.679823278099762E-2</v>
      </c>
      <c r="F20" s="37">
        <v>0.96819999999999995</v>
      </c>
      <c r="G20" s="37">
        <v>6842581</v>
      </c>
      <c r="H20" s="38">
        <v>-0.69183266209498928</v>
      </c>
      <c r="I20" s="37">
        <v>789860.39999999991</v>
      </c>
      <c r="J20" s="37">
        <v>1.8383</v>
      </c>
      <c r="K20" s="37">
        <v>32.145600000000002</v>
      </c>
      <c r="L20" s="38">
        <v>1</v>
      </c>
      <c r="M20" s="37">
        <v>470.33929999999998</v>
      </c>
      <c r="N20" s="37">
        <v>14.110639831051104</v>
      </c>
      <c r="O20" s="37">
        <v>2.5303202675050283E-2</v>
      </c>
      <c r="P20" s="38">
        <v>4.3679582080470222E-2</v>
      </c>
      <c r="Q20" s="37">
        <v>1.7313346942748944</v>
      </c>
      <c r="R20" s="41">
        <v>1.0386110912018751E-2</v>
      </c>
      <c r="S20" s="33">
        <v>8.0082772214906672E-3</v>
      </c>
      <c r="T20" s="36">
        <v>38.299999999999997</v>
      </c>
      <c r="U20" s="34">
        <v>0.37974000833333332</v>
      </c>
      <c r="V20">
        <v>6.7371581123711897</v>
      </c>
    </row>
    <row r="21" spans="1:22" x14ac:dyDescent="0.2">
      <c r="A21" s="35"/>
      <c r="B21" s="36"/>
      <c r="C21" s="37"/>
      <c r="D21" s="37"/>
      <c r="E21" s="40"/>
      <c r="F21" s="37"/>
      <c r="G21" s="37"/>
      <c r="H21" s="38"/>
      <c r="I21" s="37"/>
      <c r="J21" s="37"/>
      <c r="K21" s="37"/>
      <c r="L21" s="38"/>
      <c r="M21" s="37"/>
      <c r="N21" s="37"/>
      <c r="O21" s="37"/>
      <c r="P21" s="38"/>
      <c r="Q21" s="37"/>
      <c r="R21" s="41"/>
      <c r="S21" s="33"/>
      <c r="T21" s="36"/>
      <c r="U21" s="34"/>
      <c r="V21"/>
    </row>
    <row r="22" spans="1:22" x14ac:dyDescent="0.2">
      <c r="A22" s="35" t="s">
        <v>79</v>
      </c>
      <c r="B22" s="36">
        <v>2014</v>
      </c>
      <c r="C22" s="37">
        <v>6.3625453706213175</v>
      </c>
      <c r="D22" s="37">
        <v>-35.959229248408356</v>
      </c>
      <c r="E22" s="40">
        <v>0.38150206792993052</v>
      </c>
      <c r="F22" s="37">
        <v>1.0179</v>
      </c>
      <c r="G22" s="37">
        <v>442165.83199999999</v>
      </c>
      <c r="H22" s="38">
        <v>6.3502028853023971</v>
      </c>
      <c r="I22" s="37">
        <v>458394.06394375005</v>
      </c>
      <c r="J22" s="37">
        <v>2.4022999999999999</v>
      </c>
      <c r="K22" s="37">
        <v>37.971400000000003</v>
      </c>
      <c r="L22" s="38">
        <v>1</v>
      </c>
      <c r="M22" s="37">
        <v>335.98180000000002</v>
      </c>
      <c r="N22" s="37">
        <v>13.410177944228343</v>
      </c>
      <c r="O22" s="37">
        <v>2.3573203174970758E-2</v>
      </c>
      <c r="P22" s="38">
        <v>1.2092285376719202E-2</v>
      </c>
      <c r="Q22" s="37">
        <v>2.0396910101349333</v>
      </c>
      <c r="R22" s="41">
        <v>7.5852428662715431E-3</v>
      </c>
      <c r="S22" s="33">
        <v>9.457781607341903E-2</v>
      </c>
      <c r="T22" s="36">
        <v>99.9</v>
      </c>
      <c r="U22" s="34">
        <v>0.12046267500000001</v>
      </c>
      <c r="V22">
        <v>6.1434340944886703</v>
      </c>
    </row>
    <row r="23" spans="1:22" x14ac:dyDescent="0.2">
      <c r="A23" s="35" t="s">
        <v>79</v>
      </c>
      <c r="B23" s="36">
        <v>2015</v>
      </c>
      <c r="C23" s="37">
        <v>5.4489508296486449</v>
      </c>
      <c r="D23" s="37">
        <v>7.9161075833583272</v>
      </c>
      <c r="E23" s="40">
        <v>-6.2673105759373696E-2</v>
      </c>
      <c r="F23" s="37">
        <v>0.99509999999999998</v>
      </c>
      <c r="G23" s="37">
        <v>471349.92700000003</v>
      </c>
      <c r="H23" s="38">
        <v>6.6002601033179857</v>
      </c>
      <c r="I23" s="37">
        <v>555694.66046357993</v>
      </c>
      <c r="J23" s="37">
        <v>2.3109000000000002</v>
      </c>
      <c r="K23" s="37">
        <v>38.145600000000002</v>
      </c>
      <c r="L23" s="38">
        <v>1</v>
      </c>
      <c r="M23" s="37">
        <v>417.76429999999999</v>
      </c>
      <c r="N23" s="37">
        <v>13.579235304649199</v>
      </c>
      <c r="O23" s="37">
        <v>2.3923393951528562E-2</v>
      </c>
      <c r="P23" s="38">
        <v>8.4474211349128241E-3</v>
      </c>
      <c r="Q23" s="37">
        <v>2.0257895434821989</v>
      </c>
      <c r="R23" s="41">
        <v>7.5197840726651298E-3</v>
      </c>
      <c r="S23" s="33">
        <v>5.5934460075526035E-2</v>
      </c>
      <c r="T23" s="36">
        <v>40.6</v>
      </c>
      <c r="U23" s="34">
        <v>0.11306368333333332</v>
      </c>
      <c r="V23">
        <v>6.22748867298455</v>
      </c>
    </row>
    <row r="24" spans="1:22" x14ac:dyDescent="0.2">
      <c r="A24" s="35" t="s">
        <v>79</v>
      </c>
      <c r="B24" s="36">
        <v>2016</v>
      </c>
      <c r="C24" s="37">
        <v>4.6860198854879496</v>
      </c>
      <c r="D24" s="37">
        <v>2.3242319750822213</v>
      </c>
      <c r="E24" s="40">
        <v>-9.5933853346791501E-3</v>
      </c>
      <c r="F24" s="37">
        <v>0.98980000000000001</v>
      </c>
      <c r="G24" s="37">
        <v>352872.90600000002</v>
      </c>
      <c r="H24" s="38">
        <v>-25.135682475665259</v>
      </c>
      <c r="I24" s="37">
        <v>700047.99273764004</v>
      </c>
      <c r="J24" s="37">
        <v>1.9957</v>
      </c>
      <c r="K24" s="37">
        <v>32.030099999999997</v>
      </c>
      <c r="L24" s="38">
        <v>1</v>
      </c>
      <c r="M24" s="37">
        <v>384.16289999999998</v>
      </c>
      <c r="N24" s="37">
        <v>13.658453275189693</v>
      </c>
      <c r="O24" s="37">
        <v>2.6249102312386634E-2</v>
      </c>
      <c r="P24" s="38">
        <v>8.2262256859342176E-3</v>
      </c>
      <c r="Q24" s="37">
        <v>1.9658968028451071</v>
      </c>
      <c r="R24" s="41">
        <v>7.3440784664083958E-3</v>
      </c>
      <c r="S24" s="33">
        <v>1.5525894567969992E-2</v>
      </c>
      <c r="T24" s="36">
        <v>40.6</v>
      </c>
      <c r="U24" s="34">
        <v>0.10788815833333336</v>
      </c>
      <c r="V24">
        <v>6.6444778294468003</v>
      </c>
    </row>
    <row r="25" spans="1:22" x14ac:dyDescent="0.2">
      <c r="A25" s="35" t="s">
        <v>79</v>
      </c>
      <c r="B25" s="36">
        <v>2017</v>
      </c>
      <c r="C25" s="37">
        <v>4.6167821502949726</v>
      </c>
      <c r="D25" s="37">
        <v>2.353276173841054E-2</v>
      </c>
      <c r="E25" s="40">
        <v>9.4133361753068398E-3</v>
      </c>
      <c r="F25" s="37">
        <v>0.98370000000000002</v>
      </c>
      <c r="G25" s="37">
        <v>637974.25300000003</v>
      </c>
      <c r="H25" s="38">
        <v>80.79434327553615</v>
      </c>
      <c r="I25" s="37">
        <v>824511.69190873997</v>
      </c>
      <c r="J25" s="37">
        <v>1.7930999999999999</v>
      </c>
      <c r="K25" s="37">
        <v>32.261499999999998</v>
      </c>
      <c r="L25" s="38">
        <v>1</v>
      </c>
      <c r="M25" s="37">
        <v>343.32870000000003</v>
      </c>
      <c r="N25" s="37">
        <v>13.679222778679703</v>
      </c>
      <c r="O25" s="37">
        <v>2.843484931756388E-2</v>
      </c>
      <c r="P25" s="38">
        <v>1.311152088291421E-2</v>
      </c>
      <c r="Q25" s="37">
        <v>2.3056290477164789</v>
      </c>
      <c r="R25" s="41">
        <v>8.6858234456020471E-3</v>
      </c>
      <c r="S25" s="33">
        <v>9.5891306540979396E-2</v>
      </c>
      <c r="T25" s="36">
        <v>39.299999999999997</v>
      </c>
      <c r="U25" s="34">
        <v>0.10495592499999999</v>
      </c>
      <c r="V25">
        <v>6.7587550863359702</v>
      </c>
    </row>
    <row r="26" spans="1:22" x14ac:dyDescent="0.2">
      <c r="A26" s="35" t="s">
        <v>79</v>
      </c>
      <c r="B26" s="36">
        <v>2018</v>
      </c>
      <c r="C26" s="37">
        <v>4.7699774540916673</v>
      </c>
      <c r="D26" s="37">
        <v>5.324378674517373E-2</v>
      </c>
      <c r="E26" s="40">
        <v>1.7458077202976739E-2</v>
      </c>
      <c r="F26" s="37">
        <v>0.96750000000000003</v>
      </c>
      <c r="G26" s="37">
        <v>1204371.8189999999</v>
      </c>
      <c r="H26" s="38">
        <v>88.780630775706214</v>
      </c>
      <c r="I26" s="37">
        <v>930843.92754827999</v>
      </c>
      <c r="J26" s="37">
        <v>2.0924</v>
      </c>
      <c r="K26" s="37">
        <v>36.488500000000002</v>
      </c>
      <c r="L26" s="38">
        <v>1</v>
      </c>
      <c r="M26" s="37">
        <v>409.21550000000002</v>
      </c>
      <c r="N26" s="37">
        <v>13.689927060633746</v>
      </c>
      <c r="O26" s="37">
        <v>2.8017864843924573E-2</v>
      </c>
      <c r="P26" s="38">
        <v>1.3353471141145431E-2</v>
      </c>
      <c r="Q26" s="37">
        <v>2.3486974910724787</v>
      </c>
      <c r="R26" s="41">
        <v>9.970255381805234E-3</v>
      </c>
      <c r="S26" s="33">
        <v>0.12870455661971003</v>
      </c>
      <c r="T26" s="36">
        <v>37.9</v>
      </c>
      <c r="U26" s="34">
        <v>0.14311219999999999</v>
      </c>
      <c r="V26">
        <v>6.6159571773543897</v>
      </c>
    </row>
    <row r="27" spans="1:22" x14ac:dyDescent="0.2">
      <c r="A27" s="35" t="s">
        <v>79</v>
      </c>
      <c r="B27" s="36">
        <v>2019</v>
      </c>
      <c r="C27" s="37">
        <v>4.7436464706358699</v>
      </c>
      <c r="D27" s="37">
        <v>8.5744484691921669E-2</v>
      </c>
      <c r="E27" s="40">
        <v>1.1056549823081671E-2</v>
      </c>
      <c r="F27" s="37">
        <v>0.97529999999999994</v>
      </c>
      <c r="G27" s="37">
        <v>1544309.497</v>
      </c>
      <c r="H27" s="38">
        <v>28.225309878327543</v>
      </c>
      <c r="I27" s="37">
        <v>949446.25899196009</v>
      </c>
      <c r="J27" s="37">
        <v>2.4491999999999998</v>
      </c>
      <c r="K27" s="37">
        <v>30.985499999999998</v>
      </c>
      <c r="L27" s="38">
        <v>1</v>
      </c>
      <c r="M27" s="37">
        <v>385.74450000000002</v>
      </c>
      <c r="N27" s="37">
        <v>13.784449348075361</v>
      </c>
      <c r="O27" s="37">
        <v>2.8886787297668023E-2</v>
      </c>
      <c r="P27" s="38">
        <v>1.2040301429954105E-2</v>
      </c>
      <c r="Q27" s="37">
        <v>2.5014524101310416</v>
      </c>
      <c r="R27" s="41">
        <v>9.8085084808433674E-3</v>
      </c>
      <c r="S27" s="33">
        <v>2.7712383170145276E-2</v>
      </c>
      <c r="T27" s="36">
        <v>37.700000000000003</v>
      </c>
      <c r="U27" s="34">
        <v>0.29669430000000002</v>
      </c>
      <c r="V27">
        <v>6.9083850099290096</v>
      </c>
    </row>
    <row r="28" spans="1:22" x14ac:dyDescent="0.2">
      <c r="A28" s="35" t="s">
        <v>79</v>
      </c>
      <c r="B28" s="36">
        <v>2020</v>
      </c>
      <c r="C28" s="37">
        <v>4.3619978852545058</v>
      </c>
      <c r="D28" s="37">
        <v>2.2036147390248471</v>
      </c>
      <c r="E28" s="40">
        <v>-3.586251369554845E-3</v>
      </c>
      <c r="F28" s="37">
        <v>0.96650000000000003</v>
      </c>
      <c r="G28" s="37">
        <v>1675567.058</v>
      </c>
      <c r="H28" s="38">
        <v>8.4994336468812115</v>
      </c>
      <c r="I28" s="37">
        <v>1125269.53</v>
      </c>
      <c r="J28" s="37">
        <v>2.2572999999999999</v>
      </c>
      <c r="K28" s="37">
        <v>30.581800000000001</v>
      </c>
      <c r="L28" s="38">
        <v>1</v>
      </c>
      <c r="M28" s="37">
        <v>404.35129999999998</v>
      </c>
      <c r="N28" s="37">
        <v>13.955881010811551</v>
      </c>
      <c r="O28" s="37">
        <v>2.810068709627021E-2</v>
      </c>
      <c r="P28" s="38">
        <v>8.7781436576563378E-3</v>
      </c>
      <c r="Q28" s="37">
        <v>2.5361705773633063</v>
      </c>
      <c r="R28" s="41">
        <v>9.783934551003997E-3</v>
      </c>
      <c r="S28" s="33">
        <v>2.8555740275520065E-2</v>
      </c>
      <c r="T28" s="36">
        <v>37.9</v>
      </c>
      <c r="U28" s="34">
        <v>0.27519169999999998</v>
      </c>
      <c r="V28">
        <v>6.9007672694492497</v>
      </c>
    </row>
    <row r="29" spans="1:22" x14ac:dyDescent="0.2">
      <c r="A29" s="35" t="s">
        <v>79</v>
      </c>
      <c r="B29" s="36">
        <v>2021</v>
      </c>
      <c r="C29" s="37">
        <v>4.5563914311818383</v>
      </c>
      <c r="D29" s="37">
        <v>-2.6643694708903696</v>
      </c>
      <c r="E29" s="40">
        <v>4.0785501264203425E-2</v>
      </c>
      <c r="F29" s="37">
        <v>0.96150000000000002</v>
      </c>
      <c r="G29" s="37">
        <v>1680691.936</v>
      </c>
      <c r="H29" s="38">
        <v>0.30585931941853833</v>
      </c>
      <c r="I29" s="37">
        <v>1061290.98</v>
      </c>
      <c r="J29" s="37">
        <v>2.0470000000000002</v>
      </c>
      <c r="K29" s="37">
        <v>36.597799999999999</v>
      </c>
      <c r="L29" s="38">
        <v>1</v>
      </c>
      <c r="M29" s="37">
        <v>390.18639999999999</v>
      </c>
      <c r="N29" s="37">
        <v>14.050898835694921</v>
      </c>
      <c r="O29" s="37">
        <v>2.4908931659615673E-2</v>
      </c>
      <c r="P29" s="38">
        <v>6.8768136160329701E-3</v>
      </c>
      <c r="Q29" s="37">
        <v>2.424389584306089</v>
      </c>
      <c r="R29" s="41">
        <v>1.0135071990060284E-2</v>
      </c>
      <c r="S29" s="33">
        <v>0.21328775065622899</v>
      </c>
      <c r="T29" s="36">
        <v>38.5</v>
      </c>
      <c r="U29" s="34">
        <v>0.17849286666666667</v>
      </c>
      <c r="V29">
        <v>6.4489751802431599</v>
      </c>
    </row>
    <row r="30" spans="1:22" x14ac:dyDescent="0.2">
      <c r="A30" s="35" t="s">
        <v>79</v>
      </c>
      <c r="B30" s="36">
        <v>2022</v>
      </c>
      <c r="C30" s="37">
        <v>4.7485235241857762</v>
      </c>
      <c r="D30" s="37">
        <v>-0.14741683067655051</v>
      </c>
      <c r="E30" s="40">
        <v>1.5429009588758097E-2</v>
      </c>
      <c r="F30" s="37">
        <v>0.96109999999999995</v>
      </c>
      <c r="G30" s="37">
        <v>2116266.5520000001</v>
      </c>
      <c r="H30" s="38">
        <v>25.916386380519896</v>
      </c>
      <c r="I30" s="37">
        <v>945233.1</v>
      </c>
      <c r="J30" s="37">
        <v>1.9722</v>
      </c>
      <c r="K30" s="37">
        <v>36.923999999999999</v>
      </c>
      <c r="L30" s="38">
        <v>1</v>
      </c>
      <c r="M30" s="37">
        <v>375.39569999999998</v>
      </c>
      <c r="N30" s="37">
        <v>14.02981516061128</v>
      </c>
      <c r="O30" s="37">
        <v>2.5420298036246583E-2</v>
      </c>
      <c r="P30" s="38">
        <v>7.009898495324211E-3</v>
      </c>
      <c r="Q30" s="37">
        <v>2.236430759919195</v>
      </c>
      <c r="R30" s="41">
        <v>9.988338290011934E-3</v>
      </c>
      <c r="S30" s="33">
        <v>8.0082772214906672E-3</v>
      </c>
      <c r="T30" s="36">
        <v>38.299999999999997</v>
      </c>
      <c r="U30" s="34">
        <v>0.37974000833333332</v>
      </c>
      <c r="V30">
        <v>6.7371581123711897</v>
      </c>
    </row>
    <row r="31" spans="1:22" x14ac:dyDescent="0.2">
      <c r="A31" s="35"/>
      <c r="B31" s="36"/>
      <c r="C31" s="37"/>
      <c r="D31" s="37"/>
      <c r="E31" s="40"/>
      <c r="F31" s="37"/>
      <c r="G31" s="37"/>
      <c r="H31" s="38"/>
      <c r="I31" s="37"/>
      <c r="J31" s="37"/>
      <c r="K31" s="37"/>
      <c r="L31" s="38"/>
      <c r="M31" s="37"/>
      <c r="N31" s="37"/>
      <c r="O31" s="37"/>
      <c r="P31" s="38"/>
      <c r="Q31" s="37"/>
      <c r="R31" s="41"/>
      <c r="S31" s="33"/>
      <c r="T31" s="36"/>
      <c r="U31" s="34"/>
      <c r="V31"/>
    </row>
    <row r="32" spans="1:22" x14ac:dyDescent="0.2">
      <c r="A32" s="35" t="s">
        <v>81</v>
      </c>
      <c r="B32" s="36">
        <v>2014</v>
      </c>
      <c r="C32" s="37">
        <v>6.0489180739720494</v>
      </c>
      <c r="D32" s="37">
        <v>1.2109625860203856</v>
      </c>
      <c r="E32" s="40">
        <v>2.7241927333386596E-3</v>
      </c>
      <c r="F32" s="37">
        <v>1.0077</v>
      </c>
      <c r="G32" s="37">
        <v>880915</v>
      </c>
      <c r="H32" s="38">
        <v>112.0214015461486</v>
      </c>
      <c r="I32" s="37">
        <v>347711.32931431994</v>
      </c>
      <c r="J32" s="37">
        <v>3.6091000000000002</v>
      </c>
      <c r="K32" s="37">
        <v>30.8413</v>
      </c>
      <c r="L32" s="38">
        <v>1</v>
      </c>
      <c r="M32" s="37">
        <v>402.92989999999998</v>
      </c>
      <c r="N32" s="37">
        <v>13.423882007114068</v>
      </c>
      <c r="O32" s="37">
        <v>2.6506867404855319E-2</v>
      </c>
      <c r="P32" s="38">
        <v>4.5045935731905788E-2</v>
      </c>
      <c r="Q32" s="37">
        <v>1.8458544811701287</v>
      </c>
      <c r="R32" s="41">
        <v>7.4463227694435393E-3</v>
      </c>
      <c r="S32" s="33">
        <v>9.457781607341903E-2</v>
      </c>
      <c r="T32" s="36">
        <v>99.9</v>
      </c>
      <c r="U32" s="34">
        <v>0.12046267500000001</v>
      </c>
      <c r="V32">
        <v>6.1434340944886703</v>
      </c>
    </row>
    <row r="33" spans="1:22" x14ac:dyDescent="0.2">
      <c r="A33" s="35" t="s">
        <v>81</v>
      </c>
      <c r="B33" s="36">
        <v>2015</v>
      </c>
      <c r="C33" s="37">
        <v>4.514179715637443</v>
      </c>
      <c r="D33" s="37">
        <v>1.1555293809554794</v>
      </c>
      <c r="E33" s="40">
        <v>1.7812610558171186E-2</v>
      </c>
      <c r="F33" s="37">
        <v>1.0051000000000001</v>
      </c>
      <c r="G33" s="37">
        <v>1414988</v>
      </c>
      <c r="H33" s="38">
        <v>60.627075256977122</v>
      </c>
      <c r="I33" s="37">
        <v>540319.10668988002</v>
      </c>
      <c r="J33" s="37">
        <v>3.0985999999999998</v>
      </c>
      <c r="K33" s="37">
        <v>28.827100000000002</v>
      </c>
      <c r="L33" s="38">
        <v>1</v>
      </c>
      <c r="M33" s="37">
        <v>529.03420000000006</v>
      </c>
      <c r="N33" s="37">
        <v>13.563902510981615</v>
      </c>
      <c r="O33" s="37">
        <v>3.3001294044072448E-2</v>
      </c>
      <c r="P33" s="38">
        <v>5.2532684219051121E-2</v>
      </c>
      <c r="Q33" s="37">
        <v>1.7485737696565729</v>
      </c>
      <c r="R33" s="41">
        <v>7.6012345234878053E-3</v>
      </c>
      <c r="S33" s="33">
        <v>5.5934460075526035E-2</v>
      </c>
      <c r="T33" s="36">
        <v>40.6</v>
      </c>
      <c r="U33" s="34">
        <v>0.11306368333333332</v>
      </c>
      <c r="V33">
        <v>6.22748867298455</v>
      </c>
    </row>
    <row r="34" spans="1:22" x14ac:dyDescent="0.2">
      <c r="A34" s="35" t="s">
        <v>81</v>
      </c>
      <c r="B34" s="36">
        <v>2016</v>
      </c>
      <c r="C34" s="37">
        <v>4.9941515802120691</v>
      </c>
      <c r="D34" s="37">
        <v>0.89965899401395588</v>
      </c>
      <c r="E34" s="40">
        <v>5.2445191902445332E-3</v>
      </c>
      <c r="F34" s="37">
        <v>1.0021</v>
      </c>
      <c r="G34" s="37">
        <v>1969936</v>
      </c>
      <c r="H34" s="38">
        <v>39.219272530933125</v>
      </c>
      <c r="I34" s="37">
        <v>751855.25030456006</v>
      </c>
      <c r="J34" s="37">
        <v>2.2109000000000001</v>
      </c>
      <c r="K34" s="37">
        <v>27.004799999999999</v>
      </c>
      <c r="L34" s="38">
        <v>1</v>
      </c>
      <c r="M34" s="37">
        <v>491.81869999999998</v>
      </c>
      <c r="N34" s="37">
        <v>13.64593444170591</v>
      </c>
      <c r="O34" s="37">
        <v>3.1941801089409916E-2</v>
      </c>
      <c r="P34" s="38">
        <v>4.2177435660916918E-2</v>
      </c>
      <c r="Q34" s="37">
        <v>1.5358947487450898</v>
      </c>
      <c r="R34" s="41">
        <v>7.8657424436592762E-3</v>
      </c>
      <c r="S34" s="33">
        <v>1.5525894567969992E-2</v>
      </c>
      <c r="T34" s="36">
        <v>40.6</v>
      </c>
      <c r="U34" s="34">
        <v>0.10788815833333336</v>
      </c>
      <c r="V34">
        <v>6.6444778294468003</v>
      </c>
    </row>
    <row r="35" spans="1:22" x14ac:dyDescent="0.2">
      <c r="A35" s="35" t="s">
        <v>81</v>
      </c>
      <c r="B35" s="36">
        <v>2017</v>
      </c>
      <c r="C35" s="37">
        <v>4.6917133809504019</v>
      </c>
      <c r="D35" s="37">
        <v>0.52507596368989007</v>
      </c>
      <c r="E35" s="40">
        <v>5.4764237927692151E-3</v>
      </c>
      <c r="F35" s="37">
        <v>0.99580000000000002</v>
      </c>
      <c r="G35" s="37">
        <v>4544911</v>
      </c>
      <c r="H35" s="38">
        <v>130.71363739735708</v>
      </c>
      <c r="I35" s="37">
        <v>1053009.16532904</v>
      </c>
      <c r="J35" s="37">
        <v>1.8603000000000001</v>
      </c>
      <c r="K35" s="37">
        <v>26.276800000000001</v>
      </c>
      <c r="L35" s="38">
        <v>1</v>
      </c>
      <c r="M35" s="37">
        <v>463.08019999999999</v>
      </c>
      <c r="N35" s="37">
        <v>13.757053272414385</v>
      </c>
      <c r="O35" s="37">
        <v>2.840637327179265E-2</v>
      </c>
      <c r="P35" s="38">
        <v>2.4014581750765759E-2</v>
      </c>
      <c r="Q35" s="37">
        <v>1.9793382680501237</v>
      </c>
      <c r="R35" s="41">
        <v>9.0029963877826056E-3</v>
      </c>
      <c r="S35" s="33">
        <v>9.5891306540979396E-2</v>
      </c>
      <c r="T35" s="36">
        <v>39.299999999999997</v>
      </c>
      <c r="U35" s="34">
        <v>0.10495592499999999</v>
      </c>
      <c r="V35">
        <v>6.7587550863359702</v>
      </c>
    </row>
    <row r="36" spans="1:22" x14ac:dyDescent="0.2">
      <c r="A36" s="35" t="s">
        <v>81</v>
      </c>
      <c r="B36" s="36">
        <v>2018</v>
      </c>
      <c r="C36" s="37">
        <v>4.6966906144634244</v>
      </c>
      <c r="D36" s="37">
        <v>0.81123643950783253</v>
      </c>
      <c r="E36" s="40">
        <v>7.063147558516788E-3</v>
      </c>
      <c r="F36" s="37">
        <v>0.97550000000000003</v>
      </c>
      <c r="G36" s="37">
        <v>7823478</v>
      </c>
      <c r="H36" s="38">
        <v>72.137100154436467</v>
      </c>
      <c r="I36" s="37">
        <v>990646.09152674</v>
      </c>
      <c r="J36" s="37">
        <v>1.9383999999999999</v>
      </c>
      <c r="K36" s="37">
        <v>27.5611</v>
      </c>
      <c r="L36" s="38">
        <v>1</v>
      </c>
      <c r="M36" s="37">
        <v>380.18860000000001</v>
      </c>
      <c r="N36" s="37">
        <v>13.726008382710562</v>
      </c>
      <c r="O36" s="37">
        <v>2.9679604258723201E-2</v>
      </c>
      <c r="P36" s="38">
        <v>2.9827478738667746E-2</v>
      </c>
      <c r="Q36" s="37">
        <v>2.3879470465092094</v>
      </c>
      <c r="R36" s="41">
        <v>9.1760960529253793E-3</v>
      </c>
      <c r="S36" s="33">
        <v>0.12870455661971003</v>
      </c>
      <c r="T36" s="36">
        <v>37.9</v>
      </c>
      <c r="U36" s="34">
        <v>0.14311219999999999</v>
      </c>
      <c r="V36">
        <v>6.6159571773543897</v>
      </c>
    </row>
    <row r="37" spans="1:22" x14ac:dyDescent="0.2">
      <c r="A37" s="35" t="s">
        <v>81</v>
      </c>
      <c r="B37" s="36">
        <v>2019</v>
      </c>
      <c r="C37" s="37">
        <v>4.6501264110032281</v>
      </c>
      <c r="D37" s="37">
        <v>1.0336132484331919</v>
      </c>
      <c r="E37" s="40">
        <v>3.5592709359535935E-3</v>
      </c>
      <c r="F37" s="37">
        <v>0.98129999999999995</v>
      </c>
      <c r="G37" s="37">
        <v>8332114</v>
      </c>
      <c r="H37" s="38">
        <v>6.5014051295344597</v>
      </c>
      <c r="I37" s="37">
        <v>1168283.32</v>
      </c>
      <c r="J37" s="37">
        <v>2.3359999999999999</v>
      </c>
      <c r="K37" s="37">
        <v>26.704699999999999</v>
      </c>
      <c r="L37" s="38">
        <v>1</v>
      </c>
      <c r="M37" s="37">
        <v>349.10930000000002</v>
      </c>
      <c r="N37" s="37">
        <v>13.821592028280142</v>
      </c>
      <c r="O37" s="37">
        <v>2.7367538405275418E-2</v>
      </c>
      <c r="P37" s="38">
        <v>2.9287438578692961E-2</v>
      </c>
      <c r="Q37" s="37">
        <v>2.198843503325191</v>
      </c>
      <c r="R37" s="41">
        <v>9.2458063202709405E-3</v>
      </c>
      <c r="S37" s="33">
        <v>2.7712383170145276E-2</v>
      </c>
      <c r="T37" s="36">
        <v>37.700000000000003</v>
      </c>
      <c r="U37" s="34">
        <v>0.29669430000000002</v>
      </c>
      <c r="V37">
        <v>6.9083850099290096</v>
      </c>
    </row>
    <row r="38" spans="1:22" x14ac:dyDescent="0.2">
      <c r="A38" s="35" t="s">
        <v>81</v>
      </c>
      <c r="B38" s="36">
        <v>2020</v>
      </c>
      <c r="C38" s="37">
        <v>4.1441069421269985</v>
      </c>
      <c r="D38" s="37">
        <v>-64.628704992578477</v>
      </c>
      <c r="E38" s="40">
        <v>0.66857561716652114</v>
      </c>
      <c r="F38" s="37">
        <v>0.96930000000000005</v>
      </c>
      <c r="G38" s="37">
        <v>7598029</v>
      </c>
      <c r="H38" s="38">
        <v>-8.8103091244310878</v>
      </c>
      <c r="I38" s="37">
        <v>1202044.2</v>
      </c>
      <c r="J38" s="37">
        <v>2.0202</v>
      </c>
      <c r="K38" s="37">
        <v>27.836600000000001</v>
      </c>
      <c r="L38" s="38">
        <v>1</v>
      </c>
      <c r="M38" s="37">
        <v>348.17360000000002</v>
      </c>
      <c r="N38" s="37">
        <v>14.012720727251979</v>
      </c>
      <c r="O38" s="37">
        <v>2.6271881206970566E-2</v>
      </c>
      <c r="P38" s="38">
        <v>4.0059897856803382E-2</v>
      </c>
      <c r="Q38" s="37">
        <v>2.3487610899293396</v>
      </c>
      <c r="R38" s="41">
        <v>9.2477869296970563E-3</v>
      </c>
      <c r="S38" s="33">
        <v>2.8555740275520065E-2</v>
      </c>
      <c r="T38" s="36">
        <v>37.9</v>
      </c>
      <c r="U38" s="34">
        <v>0.27519169999999998</v>
      </c>
      <c r="V38">
        <v>6.9007672694492497</v>
      </c>
    </row>
    <row r="39" spans="1:22" x14ac:dyDescent="0.2">
      <c r="A39" s="35" t="s">
        <v>81</v>
      </c>
      <c r="B39" s="36">
        <v>2021</v>
      </c>
      <c r="C39" s="37">
        <v>3.5725016605721605</v>
      </c>
      <c r="D39" s="37">
        <v>-0.48642413520680461</v>
      </c>
      <c r="E39" s="40">
        <v>1.6758435567558624E-2</v>
      </c>
      <c r="F39" s="37">
        <v>0.96230000000000004</v>
      </c>
      <c r="G39" s="37">
        <v>5902554</v>
      </c>
      <c r="H39" s="38">
        <v>-22.314668712109416</v>
      </c>
      <c r="I39" s="37">
        <v>1208670.4200000002</v>
      </c>
      <c r="J39" s="37">
        <v>1.8335999999999999</v>
      </c>
      <c r="K39" s="37">
        <v>35.246000000000002</v>
      </c>
      <c r="L39" s="38">
        <v>1</v>
      </c>
      <c r="M39" s="37">
        <v>291.0256</v>
      </c>
      <c r="N39" s="37">
        <v>14.062448757844201</v>
      </c>
      <c r="O39" s="37">
        <v>2.3001688214790223E-2</v>
      </c>
      <c r="P39" s="38">
        <v>2.6546422523004539E-2</v>
      </c>
      <c r="Q39" s="37">
        <v>2.7929707422521481</v>
      </c>
      <c r="R39" s="41">
        <v>8.9228871629796931E-3</v>
      </c>
      <c r="S39" s="33">
        <v>0.21328775065622899</v>
      </c>
      <c r="T39" s="36">
        <v>38.5</v>
      </c>
      <c r="U39" s="34">
        <v>0.17849286666666667</v>
      </c>
      <c r="V39">
        <v>6.4489751802431599</v>
      </c>
    </row>
    <row r="40" spans="1:22" x14ac:dyDescent="0.2">
      <c r="A40" s="35" t="s">
        <v>81</v>
      </c>
      <c r="B40" s="36">
        <v>2022</v>
      </c>
      <c r="C40" s="37">
        <v>3.315229061799212</v>
      </c>
      <c r="D40" s="37">
        <v>0.41187428389331743</v>
      </c>
      <c r="E40" s="40">
        <v>8.0587666429060411E-3</v>
      </c>
      <c r="F40" s="37">
        <v>0.95730000000000004</v>
      </c>
      <c r="G40" s="37">
        <v>6138289</v>
      </c>
      <c r="H40" s="38">
        <v>3.9937796418296214</v>
      </c>
      <c r="I40" s="37">
        <v>1081614.96</v>
      </c>
      <c r="J40" s="37">
        <v>1.7650999999999999</v>
      </c>
      <c r="K40" s="37">
        <v>35.673499999999997</v>
      </c>
      <c r="L40" s="38">
        <v>1</v>
      </c>
      <c r="M40" s="37">
        <v>295.40109999999999</v>
      </c>
      <c r="N40" s="37">
        <v>14.048049830918846</v>
      </c>
      <c r="O40" s="37">
        <v>2.4095316149210216E-2</v>
      </c>
      <c r="P40" s="38">
        <v>4.2762007805734158E-2</v>
      </c>
      <c r="Q40" s="37">
        <v>2.9593526244839521</v>
      </c>
      <c r="R40" s="41">
        <v>8.4771685525088201E-3</v>
      </c>
      <c r="S40" s="33">
        <v>8.0082772214906672E-3</v>
      </c>
      <c r="T40" s="36">
        <v>38.299999999999997</v>
      </c>
      <c r="U40" s="34">
        <v>0.37974000833333332</v>
      </c>
      <c r="V40">
        <v>6.7371581123711897</v>
      </c>
    </row>
    <row r="42" spans="1:22" x14ac:dyDescent="0.2">
      <c r="A42" s="35" t="s">
        <v>82</v>
      </c>
      <c r="B42" s="36">
        <v>2014</v>
      </c>
      <c r="C42" s="37">
        <v>12.926996135594285</v>
      </c>
      <c r="D42" s="37">
        <v>10.950586752422522</v>
      </c>
      <c r="E42" s="40">
        <v>-9.0012985146746938E-2</v>
      </c>
      <c r="F42" s="37">
        <v>1.0306999999999999</v>
      </c>
      <c r="G42" s="37">
        <v>414573.97200000001</v>
      </c>
      <c r="H42" s="38">
        <v>58.972750072348454</v>
      </c>
      <c r="I42" s="37">
        <v>30011.383549419996</v>
      </c>
      <c r="J42" s="37">
        <v>2.8161</v>
      </c>
      <c r="K42" s="37">
        <v>38.103999999999999</v>
      </c>
      <c r="L42" s="38">
        <v>1</v>
      </c>
      <c r="M42" s="37">
        <v>525.4529</v>
      </c>
      <c r="N42" s="37">
        <v>11.399381098325678</v>
      </c>
      <c r="O42" s="37">
        <v>2.528919790318062E-2</v>
      </c>
      <c r="P42" s="38">
        <v>8.2518471646127481E-2</v>
      </c>
      <c r="Q42" s="37">
        <v>2.1119335338016074</v>
      </c>
      <c r="R42" s="41">
        <v>6.8528680765548204E-3</v>
      </c>
      <c r="S42" s="33">
        <v>9.457781607341903E-2</v>
      </c>
      <c r="T42" s="36">
        <v>99.9</v>
      </c>
      <c r="U42" s="34">
        <v>0.12046267500000001</v>
      </c>
      <c r="V42">
        <v>6.1434340944886703</v>
      </c>
    </row>
    <row r="43" spans="1:22" x14ac:dyDescent="0.2">
      <c r="A43" s="35" t="s">
        <v>82</v>
      </c>
      <c r="B43" s="36">
        <v>2015</v>
      </c>
      <c r="C43" s="37">
        <v>12.086488580307707</v>
      </c>
      <c r="D43" s="37">
        <v>-2.0027864565150533</v>
      </c>
      <c r="E43" s="40">
        <v>5.5240347615362048E-2</v>
      </c>
      <c r="F43" s="37">
        <v>1.0283</v>
      </c>
      <c r="G43" s="37">
        <v>949082.022</v>
      </c>
      <c r="H43" s="38">
        <v>128.92947606464787</v>
      </c>
      <c r="I43" s="37">
        <v>36400.269677440003</v>
      </c>
      <c r="J43" s="37">
        <v>2.6991000000000001</v>
      </c>
      <c r="K43" s="37">
        <v>39.433700000000002</v>
      </c>
      <c r="L43" s="38">
        <v>1</v>
      </c>
      <c r="M43" s="37">
        <v>623.29110000000003</v>
      </c>
      <c r="N43" s="37">
        <v>11.612206943265088</v>
      </c>
      <c r="O43" s="37">
        <v>2.8509192765475543E-2</v>
      </c>
      <c r="P43" s="38">
        <v>3.7635764661901376E-2</v>
      </c>
      <c r="Q43" s="37">
        <v>2.0223746519623109</v>
      </c>
      <c r="R43" s="41">
        <v>7.188618255249103E-3</v>
      </c>
      <c r="S43" s="33">
        <v>5.5934460075526035E-2</v>
      </c>
      <c r="T43" s="36">
        <v>40.6</v>
      </c>
      <c r="U43" s="34">
        <v>0.11306368333333332</v>
      </c>
      <c r="V43">
        <v>6.22748867298455</v>
      </c>
    </row>
    <row r="44" spans="1:22" x14ac:dyDescent="0.2">
      <c r="A44" s="35" t="s">
        <v>82</v>
      </c>
      <c r="B44" s="36">
        <v>2016</v>
      </c>
      <c r="C44" s="37">
        <v>11.415156244865614</v>
      </c>
      <c r="D44" s="37">
        <v>0.18644972786050279</v>
      </c>
      <c r="E44" s="40">
        <v>1.7611784658827588E-2</v>
      </c>
      <c r="F44" s="37">
        <v>1.022</v>
      </c>
      <c r="G44" s="37">
        <v>1362133.845</v>
      </c>
      <c r="H44" s="38">
        <v>43.521193471727145</v>
      </c>
      <c r="I44" s="37">
        <v>39853.146156249997</v>
      </c>
      <c r="J44" s="37">
        <v>2.2951000000000001</v>
      </c>
      <c r="K44" s="37">
        <v>37.1083</v>
      </c>
      <c r="L44" s="38">
        <v>1</v>
      </c>
      <c r="M44" s="37">
        <v>557.40110000000004</v>
      </c>
      <c r="N44" s="37">
        <v>11.75610744087629</v>
      </c>
      <c r="O44" s="37">
        <v>3.2126025161470756E-2</v>
      </c>
      <c r="P44" s="38">
        <v>5.8370625205687567E-2</v>
      </c>
      <c r="Q44" s="37">
        <v>1.7292187088337487</v>
      </c>
      <c r="R44" s="41">
        <v>5.9152120727763912E-3</v>
      </c>
      <c r="S44" s="33">
        <v>1.5525894567969992E-2</v>
      </c>
      <c r="T44" s="36">
        <v>40.6</v>
      </c>
      <c r="U44" s="34">
        <v>0.10788815833333336</v>
      </c>
      <c r="V44">
        <v>6.6444778294468003</v>
      </c>
    </row>
    <row r="45" spans="1:22" x14ac:dyDescent="0.2">
      <c r="A45" s="35" t="s">
        <v>82</v>
      </c>
      <c r="B45" s="36">
        <v>2017</v>
      </c>
      <c r="C45" s="37">
        <v>11.379746541464195</v>
      </c>
      <c r="D45" s="37">
        <v>2.0747635005421943</v>
      </c>
      <c r="E45" s="40">
        <v>-5.0666767458965208E-3</v>
      </c>
      <c r="F45" s="37">
        <v>1.0367999999999999</v>
      </c>
      <c r="G45" s="37">
        <v>1362133.845</v>
      </c>
      <c r="H45" s="38">
        <v>0</v>
      </c>
      <c r="I45" s="37">
        <v>43618.373617500001</v>
      </c>
      <c r="J45" s="37">
        <v>2.0958000000000001</v>
      </c>
      <c r="K45" s="37">
        <v>36.238</v>
      </c>
      <c r="L45" s="38">
        <v>1</v>
      </c>
      <c r="M45" s="37">
        <v>597.64170000000001</v>
      </c>
      <c r="N45" s="37">
        <v>11.974217935128481</v>
      </c>
      <c r="O45" s="37">
        <v>4.0443212400922815E-2</v>
      </c>
      <c r="P45" s="38">
        <v>4.2752768218981406E-2</v>
      </c>
      <c r="Q45" s="37">
        <v>1.9779430657589641</v>
      </c>
      <c r="R45" s="41">
        <v>6.1246964808033509E-3</v>
      </c>
      <c r="S45" s="33">
        <v>9.5891306540979396E-2</v>
      </c>
      <c r="T45" s="36">
        <v>39.299999999999997</v>
      </c>
      <c r="U45" s="34">
        <v>0.10495592499999999</v>
      </c>
      <c r="V45">
        <v>6.7587550863359702</v>
      </c>
    </row>
    <row r="46" spans="1:22" x14ac:dyDescent="0.2">
      <c r="A46" s="35" t="s">
        <v>82</v>
      </c>
      <c r="B46" s="36">
        <v>2018</v>
      </c>
      <c r="C46" s="37">
        <v>12.318862477547794</v>
      </c>
      <c r="D46" s="37">
        <v>1.5715188992840363</v>
      </c>
      <c r="E46" s="40">
        <v>4.4847537784734872E-3</v>
      </c>
      <c r="F46" s="37">
        <v>1.0165</v>
      </c>
      <c r="G46" s="37">
        <v>3727174.6090000002</v>
      </c>
      <c r="H46" s="38">
        <v>173.62763378073177</v>
      </c>
      <c r="I46" s="37">
        <v>48740.558766900002</v>
      </c>
      <c r="J46" s="37">
        <v>2.1766000000000001</v>
      </c>
      <c r="K46" s="37">
        <v>36.238</v>
      </c>
      <c r="L46" s="38">
        <v>1</v>
      </c>
      <c r="M46" s="37">
        <v>401.36250000000001</v>
      </c>
      <c r="N46" s="37">
        <v>11.997240095343102</v>
      </c>
      <c r="O46" s="37">
        <v>4.0773351370653174E-2</v>
      </c>
      <c r="P46" s="38">
        <v>2.2901383540626711E-2</v>
      </c>
      <c r="Q46" s="37">
        <v>2.0571051242716143</v>
      </c>
      <c r="R46" s="41">
        <v>6.6347999943351605E-3</v>
      </c>
      <c r="S46" s="33">
        <v>0.12870455661971003</v>
      </c>
      <c r="T46" s="36">
        <v>37.9</v>
      </c>
      <c r="U46" s="34">
        <v>0.14311219999999999</v>
      </c>
      <c r="V46">
        <v>6.6159571773543897</v>
      </c>
    </row>
    <row r="47" spans="1:22" x14ac:dyDescent="0.2">
      <c r="A47" s="35" t="s">
        <v>82</v>
      </c>
      <c r="B47" s="36">
        <v>2019</v>
      </c>
      <c r="C47" s="37">
        <v>13.30618174659898</v>
      </c>
      <c r="D47" s="37">
        <v>2.5561064847188404</v>
      </c>
      <c r="E47" s="40">
        <v>-3.5485551679960668E-3</v>
      </c>
      <c r="F47" s="37">
        <v>1.0553999999999999</v>
      </c>
      <c r="G47" s="37">
        <v>3489303</v>
      </c>
      <c r="H47" s="38">
        <v>-6.3820892218360834</v>
      </c>
      <c r="I47" s="37">
        <v>59476.472338850006</v>
      </c>
      <c r="J47" s="37">
        <v>2.2673999999999999</v>
      </c>
      <c r="K47" s="37">
        <v>36.6158</v>
      </c>
      <c r="L47" s="38">
        <v>1</v>
      </c>
      <c r="M47" s="37">
        <v>385.7715</v>
      </c>
      <c r="N47" s="37">
        <v>12.150743425635625</v>
      </c>
      <c r="O47" s="37">
        <v>3.6029419950526491E-2</v>
      </c>
      <c r="P47" s="38">
        <v>3.1928358807266896E-2</v>
      </c>
      <c r="Q47" s="37">
        <v>1.6736428908304521</v>
      </c>
      <c r="R47" s="41">
        <v>6.790111065812939E-3</v>
      </c>
      <c r="S47" s="33">
        <v>2.7712383170145276E-2</v>
      </c>
      <c r="T47" s="36">
        <v>37.700000000000003</v>
      </c>
      <c r="U47" s="34">
        <v>0.29669430000000002</v>
      </c>
      <c r="V47">
        <v>6.9083850099290096</v>
      </c>
    </row>
    <row r="48" spans="1:22" x14ac:dyDescent="0.2">
      <c r="A48" s="35" t="s">
        <v>82</v>
      </c>
      <c r="B48" s="36">
        <v>2020</v>
      </c>
      <c r="C48" s="37">
        <v>12.113065590488919</v>
      </c>
      <c r="D48" s="37">
        <v>-3.6896261708151887</v>
      </c>
      <c r="E48" s="40">
        <v>6.1366367585831562E-2</v>
      </c>
      <c r="F48" s="37">
        <v>1.0668</v>
      </c>
      <c r="G48" s="37">
        <v>3244069</v>
      </c>
      <c r="H48" s="38">
        <v>-7.0281657970087439</v>
      </c>
      <c r="I48" s="37">
        <v>83590.454500020001</v>
      </c>
      <c r="J48" s="37">
        <v>2.298</v>
      </c>
      <c r="K48" s="37">
        <v>41.446199999999997</v>
      </c>
      <c r="L48" s="38">
        <v>1</v>
      </c>
      <c r="M48" s="37">
        <v>417.32619999999997</v>
      </c>
      <c r="N48" s="37">
        <v>12.426116041524947</v>
      </c>
      <c r="O48" s="37">
        <v>3.5287873190938589E-2</v>
      </c>
      <c r="P48" s="38">
        <v>2.2395201646214263E-2</v>
      </c>
      <c r="Q48" s="37">
        <v>1.753333316066739</v>
      </c>
      <c r="R48" s="41">
        <v>7.3697166865998101E-3</v>
      </c>
      <c r="S48" s="33">
        <v>2.8555740275520065E-2</v>
      </c>
      <c r="T48" s="36">
        <v>37.9</v>
      </c>
      <c r="U48" s="34">
        <v>0.27519169999999998</v>
      </c>
      <c r="V48">
        <v>6.9007672694492497</v>
      </c>
    </row>
    <row r="49" spans="1:22" x14ac:dyDescent="0.2">
      <c r="A49" s="35" t="s">
        <v>82</v>
      </c>
      <c r="B49" s="36">
        <v>2021</v>
      </c>
      <c r="C49" s="37">
        <v>12.690732866239243</v>
      </c>
      <c r="D49" s="37">
        <v>0.55447549320326528</v>
      </c>
      <c r="E49" s="40">
        <v>1.8598950134069182E-2</v>
      </c>
      <c r="F49" s="37">
        <v>1.0587</v>
      </c>
      <c r="G49" s="37">
        <v>2993080</v>
      </c>
      <c r="H49" s="38">
        <v>-7.7368576315731881</v>
      </c>
      <c r="I49" s="37">
        <v>104137.12233192001</v>
      </c>
      <c r="J49" s="37">
        <v>2.2132000000000001</v>
      </c>
      <c r="K49" s="37">
        <v>41.235700000000001</v>
      </c>
      <c r="L49" s="38">
        <v>1</v>
      </c>
      <c r="M49" s="37">
        <v>505.0308</v>
      </c>
      <c r="N49" s="37">
        <v>12.666986695051428</v>
      </c>
      <c r="O49" s="37">
        <v>3.9082703759981248E-2</v>
      </c>
      <c r="P49" s="38">
        <v>2.1894255658487204E-2</v>
      </c>
      <c r="Q49" s="37">
        <v>1.7123254110559987</v>
      </c>
      <c r="R49" s="41">
        <v>8.1209223473673667E-3</v>
      </c>
      <c r="S49" s="33">
        <v>0.21328775065622899</v>
      </c>
      <c r="T49" s="36">
        <v>38.5</v>
      </c>
      <c r="U49" s="34">
        <v>0.17849286666666667</v>
      </c>
      <c r="V49">
        <v>6.4489751802431599</v>
      </c>
    </row>
    <row r="50" spans="1:22" x14ac:dyDescent="0.2">
      <c r="A50" s="35" t="s">
        <v>82</v>
      </c>
      <c r="B50" s="36">
        <v>2022</v>
      </c>
      <c r="C50" s="37">
        <v>12.434594986070236</v>
      </c>
      <c r="D50" s="37">
        <v>0.98097817672745291</v>
      </c>
      <c r="E50" s="40">
        <v>1.4958349867884125E-2</v>
      </c>
      <c r="F50" s="37">
        <v>1.026</v>
      </c>
      <c r="G50" s="37">
        <v>2660233</v>
      </c>
      <c r="H50" s="38">
        <v>-11.120551405241423</v>
      </c>
      <c r="I50" s="37">
        <v>113732.89728788</v>
      </c>
      <c r="J50" s="37">
        <v>2.0236000000000001</v>
      </c>
      <c r="K50" s="37">
        <v>38.879399999999997</v>
      </c>
      <c r="L50" s="38">
        <v>1</v>
      </c>
      <c r="M50" s="37">
        <v>494.32909999999998</v>
      </c>
      <c r="N50" s="37">
        <v>12.745433827716829</v>
      </c>
      <c r="O50" s="37">
        <v>3.702096141471807E-2</v>
      </c>
      <c r="P50" s="38">
        <v>2.2063087799471099E-2</v>
      </c>
      <c r="Q50" s="37">
        <v>1.6229521038964232</v>
      </c>
      <c r="R50" s="41">
        <v>7.9828937751339341E-3</v>
      </c>
      <c r="S50" s="33">
        <v>8.0082772214906672E-3</v>
      </c>
      <c r="T50" s="36">
        <v>38.299999999999997</v>
      </c>
      <c r="U50" s="34">
        <v>0.37974000833333332</v>
      </c>
      <c r="V50">
        <v>6.7371581123711897</v>
      </c>
    </row>
    <row r="51" spans="1:22" x14ac:dyDescent="0.2">
      <c r="A51" s="35"/>
      <c r="B51" s="36"/>
      <c r="C51" s="37"/>
      <c r="D51" s="37"/>
      <c r="E51" s="40"/>
      <c r="F51" s="37"/>
      <c r="G51" s="37"/>
      <c r="H51" s="38"/>
      <c r="I51" s="37"/>
      <c r="J51" s="37"/>
      <c r="K51" s="37"/>
      <c r="L51" s="38"/>
      <c r="M51" s="37"/>
      <c r="N51" s="37"/>
      <c r="O51" s="37"/>
      <c r="P51" s="38"/>
      <c r="Q51" s="37"/>
      <c r="R51" s="41"/>
      <c r="S51" s="33"/>
      <c r="T51" s="36"/>
      <c r="U51" s="34"/>
      <c r="V51"/>
    </row>
    <row r="52" spans="1:22" x14ac:dyDescent="0.2">
      <c r="A52" s="35" t="s">
        <v>83</v>
      </c>
      <c r="B52" s="36">
        <v>2014</v>
      </c>
      <c r="C52" s="37">
        <v>6.9277765316102515</v>
      </c>
      <c r="D52" s="37">
        <v>1.6749697095700999</v>
      </c>
      <c r="E52" s="40">
        <v>2.0162034009641983E-3</v>
      </c>
      <c r="F52" s="37">
        <v>1.0141</v>
      </c>
      <c r="G52" s="37">
        <v>232649</v>
      </c>
      <c r="H52" s="38">
        <v>2.9844139402497487</v>
      </c>
      <c r="I52" s="37">
        <v>250093.77063432001</v>
      </c>
      <c r="J52" s="37">
        <v>2.3039000000000001</v>
      </c>
      <c r="K52" s="37">
        <v>38.43</v>
      </c>
      <c r="L52" s="38">
        <v>1</v>
      </c>
      <c r="M52" s="37">
        <v>378.10989999999998</v>
      </c>
      <c r="N52" s="37">
        <v>12.996634512820012</v>
      </c>
      <c r="O52" s="37">
        <v>2.1566733792393E-2</v>
      </c>
      <c r="P52" s="38">
        <v>3.5848597172053492E-2</v>
      </c>
      <c r="Q52" s="37">
        <v>1.9626238524237223</v>
      </c>
      <c r="R52" s="41">
        <v>7.1315852795982241E-3</v>
      </c>
      <c r="S52" s="33">
        <v>9.457781607341903E-2</v>
      </c>
      <c r="T52" s="36">
        <v>99.9</v>
      </c>
      <c r="U52" s="34">
        <v>0.12046267500000001</v>
      </c>
      <c r="V52">
        <v>6.1434340944886703</v>
      </c>
    </row>
    <row r="53" spans="1:22" x14ac:dyDescent="0.2">
      <c r="A53" s="35" t="s">
        <v>83</v>
      </c>
      <c r="B53" s="36">
        <v>2015</v>
      </c>
      <c r="C53" s="37">
        <v>6.2509334752791634</v>
      </c>
      <c r="D53" s="37">
        <v>2.1561410926879283</v>
      </c>
      <c r="E53" s="40">
        <v>1.2283636763947543E-2</v>
      </c>
      <c r="F53" s="37">
        <v>0.99590000000000001</v>
      </c>
      <c r="G53" s="37">
        <v>218981</v>
      </c>
      <c r="H53" s="38">
        <v>-5.874944659121681</v>
      </c>
      <c r="I53" s="37">
        <v>375730.68903795001</v>
      </c>
      <c r="J53" s="37">
        <v>2.2536</v>
      </c>
      <c r="K53" s="37">
        <v>35.776899999999998</v>
      </c>
      <c r="L53" s="38">
        <v>1</v>
      </c>
      <c r="M53" s="37">
        <v>326.17439999999999</v>
      </c>
      <c r="N53" s="37">
        <v>13.098642238885178</v>
      </c>
      <c r="O53" s="37">
        <v>2.5185277286033626E-2</v>
      </c>
      <c r="P53" s="38">
        <v>3.8546824687341809E-2</v>
      </c>
      <c r="Q53" s="37">
        <v>1.9169673222841157</v>
      </c>
      <c r="R53" s="41">
        <v>7.0456181034224494E-3</v>
      </c>
      <c r="S53" s="33">
        <v>5.5934460075526035E-2</v>
      </c>
      <c r="T53" s="36">
        <v>40.6</v>
      </c>
      <c r="U53" s="34">
        <v>0.11306368333333332</v>
      </c>
      <c r="V53">
        <v>6.22748867298455</v>
      </c>
    </row>
    <row r="54" spans="1:22" x14ac:dyDescent="0.2">
      <c r="A54" s="35" t="s">
        <v>83</v>
      </c>
      <c r="B54" s="36">
        <v>2016</v>
      </c>
      <c r="C54" s="37">
        <v>5.2908188855493137</v>
      </c>
      <c r="D54" s="37">
        <v>-0.12108430737552615</v>
      </c>
      <c r="E54" s="40">
        <v>1.5146310621783057E-2</v>
      </c>
      <c r="F54" s="37">
        <v>0.98929999999999996</v>
      </c>
      <c r="G54" s="37">
        <v>449776</v>
      </c>
      <c r="H54" s="38">
        <v>105.39498860631744</v>
      </c>
      <c r="I54" s="37">
        <v>413607.21469619998</v>
      </c>
      <c r="J54" s="37">
        <v>1.7844</v>
      </c>
      <c r="K54" s="37">
        <v>32.866700000000002</v>
      </c>
      <c r="L54" s="38">
        <v>1</v>
      </c>
      <c r="M54" s="37">
        <v>621.45240000000001</v>
      </c>
      <c r="N54" s="37">
        <v>13.269544362322961</v>
      </c>
      <c r="O54" s="37">
        <v>2.4304870959550307E-2</v>
      </c>
      <c r="P54" s="38">
        <v>5.9986707394001186E-2</v>
      </c>
      <c r="Q54" s="37">
        <v>1.9452961761329322</v>
      </c>
      <c r="R54" s="41">
        <v>8.4397523788232523E-3</v>
      </c>
      <c r="S54" s="33">
        <v>1.5525894567969992E-2</v>
      </c>
      <c r="T54" s="36">
        <v>40.6</v>
      </c>
      <c r="U54" s="34">
        <v>0.10788815833333336</v>
      </c>
      <c r="V54">
        <v>6.6444778294468003</v>
      </c>
    </row>
    <row r="55" spans="1:22" x14ac:dyDescent="0.2">
      <c r="A55" s="35" t="s">
        <v>83</v>
      </c>
      <c r="B55" s="36">
        <v>2017</v>
      </c>
      <c r="C55" s="37">
        <v>4.9782615192364572</v>
      </c>
      <c r="D55" s="37">
        <v>0.76740854430562788</v>
      </c>
      <c r="E55" s="40">
        <v>1.0502545162284927E-3</v>
      </c>
      <c r="F55" s="37">
        <v>0.98160000000000003</v>
      </c>
      <c r="G55" s="37">
        <v>742291</v>
      </c>
      <c r="H55" s="38">
        <v>65.035706662872187</v>
      </c>
      <c r="I55" s="37">
        <v>497812.24411680002</v>
      </c>
      <c r="J55" s="37">
        <v>1.5192000000000001</v>
      </c>
      <c r="K55" s="37">
        <v>33.931800000000003</v>
      </c>
      <c r="L55" s="38">
        <v>1</v>
      </c>
      <c r="M55" s="37">
        <v>457.61529999999999</v>
      </c>
      <c r="N55" s="37">
        <v>13.350793436082096</v>
      </c>
      <c r="O55" s="37">
        <v>2.5214856344063525E-2</v>
      </c>
      <c r="P55" s="38">
        <v>3.616419473979067E-2</v>
      </c>
      <c r="Q55" s="37">
        <v>2.4453328731642534</v>
      </c>
      <c r="R55" s="41">
        <v>8.902115561622773E-3</v>
      </c>
      <c r="S55" s="33">
        <v>9.5891306540979396E-2</v>
      </c>
      <c r="T55" s="36">
        <v>39.299999999999997</v>
      </c>
      <c r="U55" s="34">
        <v>0.10495592499999999</v>
      </c>
      <c r="V55">
        <v>6.7587550863359702</v>
      </c>
    </row>
    <row r="56" spans="1:22" x14ac:dyDescent="0.2">
      <c r="A56" s="35" t="s">
        <v>83</v>
      </c>
      <c r="B56" s="36">
        <v>2018</v>
      </c>
      <c r="C56" s="37">
        <v>5.0850648938662042</v>
      </c>
      <c r="D56" s="37">
        <v>0.57781585260051149</v>
      </c>
      <c r="E56" s="40">
        <v>9.75234157351214E-3</v>
      </c>
      <c r="F56" s="37">
        <v>0.97770000000000001</v>
      </c>
      <c r="G56" s="37">
        <v>3338824</v>
      </c>
      <c r="H56" s="38">
        <v>349.79987632882523</v>
      </c>
      <c r="I56" s="37">
        <v>558594.94913180009</v>
      </c>
      <c r="J56" s="37">
        <v>1.9742</v>
      </c>
      <c r="K56" s="37">
        <v>31.435300000000002</v>
      </c>
      <c r="L56" s="38">
        <v>1</v>
      </c>
      <c r="M56" s="37">
        <v>428.08859999999999</v>
      </c>
      <c r="N56" s="37">
        <v>13.358969896498103</v>
      </c>
      <c r="O56" s="37">
        <v>2.7675256296618697E-2</v>
      </c>
      <c r="P56" s="38">
        <v>4.3062837854723514E-2</v>
      </c>
      <c r="Q56" s="37">
        <v>2.6320376162432382</v>
      </c>
      <c r="R56" s="41">
        <v>9.4066468478189169E-3</v>
      </c>
      <c r="S56" s="33">
        <v>0.12870455661971003</v>
      </c>
      <c r="T56" s="36">
        <v>37.9</v>
      </c>
      <c r="U56" s="34">
        <v>0.14311219999999999</v>
      </c>
      <c r="V56">
        <v>6.6159571773543897</v>
      </c>
    </row>
    <row r="57" spans="1:22" x14ac:dyDescent="0.2">
      <c r="A57" s="35" t="s">
        <v>83</v>
      </c>
      <c r="B57" s="36">
        <v>2019</v>
      </c>
      <c r="C57" s="37">
        <v>5.2733353425203191</v>
      </c>
      <c r="D57" s="37">
        <v>0.64074900231593379</v>
      </c>
      <c r="E57" s="40">
        <v>9.1353889476538767E-3</v>
      </c>
      <c r="F57" s="37">
        <v>0.97809999999999997</v>
      </c>
      <c r="G57" s="37">
        <v>2775126</v>
      </c>
      <c r="H57" s="38">
        <v>-16.883130108085961</v>
      </c>
      <c r="I57" s="37">
        <v>606208.71493182005</v>
      </c>
      <c r="J57" s="37">
        <v>2.3092000000000001</v>
      </c>
      <c r="K57" s="37">
        <v>29.617100000000001</v>
      </c>
      <c r="L57" s="38">
        <v>1</v>
      </c>
      <c r="M57" s="37">
        <v>317.238</v>
      </c>
      <c r="N57" s="37">
        <v>13.429493006622209</v>
      </c>
      <c r="O57" s="37">
        <v>2.8021250095105844E-2</v>
      </c>
      <c r="P57" s="38">
        <v>2.4835346484097919E-2</v>
      </c>
      <c r="Q57" s="37">
        <v>2.3941279351844345</v>
      </c>
      <c r="R57" s="41">
        <v>8.9570071800117463E-3</v>
      </c>
      <c r="S57" s="33">
        <v>2.7712383170145276E-2</v>
      </c>
      <c r="T57" s="36">
        <v>37.700000000000003</v>
      </c>
      <c r="U57" s="34">
        <v>0.29669430000000002</v>
      </c>
      <c r="V57">
        <v>6.9083850099290096</v>
      </c>
    </row>
    <row r="58" spans="1:22" x14ac:dyDescent="0.2">
      <c r="A58" s="35" t="s">
        <v>83</v>
      </c>
      <c r="B58" s="36">
        <v>2020</v>
      </c>
      <c r="C58" s="37">
        <v>4.8664658092894459</v>
      </c>
      <c r="D58" s="37">
        <v>-33.260644920837635</v>
      </c>
      <c r="E58" s="40">
        <v>0.3548787822632824</v>
      </c>
      <c r="F58" s="37">
        <v>0.96419999999999995</v>
      </c>
      <c r="G58" s="37">
        <v>2210297</v>
      </c>
      <c r="H58" s="38">
        <v>-20.353274049538651</v>
      </c>
      <c r="I58" s="37">
        <v>638363.61409579997</v>
      </c>
      <c r="J58" s="37">
        <v>2.2932999999999999</v>
      </c>
      <c r="K58" s="37">
        <v>30.036000000000001</v>
      </c>
      <c r="L58" s="38">
        <v>1</v>
      </c>
      <c r="M58" s="37">
        <v>287.1191</v>
      </c>
      <c r="N58" s="37">
        <v>13.620008388076792</v>
      </c>
      <c r="O58" s="37">
        <v>2.5027766998892156E-2</v>
      </c>
      <c r="P58" s="38">
        <v>2.7013938394639794E-2</v>
      </c>
      <c r="Q58" s="37">
        <v>2.434574289304658</v>
      </c>
      <c r="R58" s="41">
        <v>8.5922521062459043E-3</v>
      </c>
      <c r="S58" s="33">
        <v>2.8555740275520065E-2</v>
      </c>
      <c r="T58" s="36">
        <v>37.9</v>
      </c>
      <c r="U58" s="34">
        <v>0.27519169999999998</v>
      </c>
      <c r="V58">
        <v>6.9007672694492497</v>
      </c>
    </row>
    <row r="59" spans="1:22" x14ac:dyDescent="0.2">
      <c r="A59" s="35" t="s">
        <v>83</v>
      </c>
      <c r="B59" s="36">
        <v>2021</v>
      </c>
      <c r="C59" s="37">
        <v>4.9756716060411037</v>
      </c>
      <c r="D59" s="37">
        <v>0.79993220812137977</v>
      </c>
      <c r="E59" s="40">
        <v>4.4668809470567086E-3</v>
      </c>
      <c r="F59" s="37">
        <v>0.95730000000000004</v>
      </c>
      <c r="G59" s="37">
        <v>1883368</v>
      </c>
      <c r="H59" s="38">
        <v>-14.791179646898131</v>
      </c>
      <c r="I59" s="37">
        <v>650833.08347759</v>
      </c>
      <c r="J59" s="37">
        <v>2.1598999999999999</v>
      </c>
      <c r="K59" s="37">
        <v>29.607900000000001</v>
      </c>
      <c r="L59" s="38">
        <v>1</v>
      </c>
      <c r="M59" s="37">
        <v>335.8254</v>
      </c>
      <c r="N59" s="37">
        <v>13.741398543602383</v>
      </c>
      <c r="O59" s="37">
        <v>2.3185281102056518E-2</v>
      </c>
      <c r="P59" s="38">
        <v>3.7689581473161017E-2</v>
      </c>
      <c r="Q59" s="37">
        <v>2.2096321049832062</v>
      </c>
      <c r="R59" s="41">
        <v>8.9362448760893637E-3</v>
      </c>
      <c r="S59" s="33">
        <v>0.21328775065622899</v>
      </c>
      <c r="T59" s="36">
        <v>38.5</v>
      </c>
      <c r="U59" s="34">
        <v>0.17849286666666667</v>
      </c>
      <c r="V59">
        <v>6.4489751802431599</v>
      </c>
    </row>
    <row r="60" spans="1:22" x14ac:dyDescent="0.2">
      <c r="A60" s="35" t="s">
        <v>83</v>
      </c>
      <c r="B60" s="36">
        <v>2022</v>
      </c>
      <c r="C60" s="37">
        <v>4.7595726071224886</v>
      </c>
      <c r="D60" s="37">
        <v>1.9587311215042848E-2</v>
      </c>
      <c r="E60" s="40">
        <v>1.1026951896325649E-2</v>
      </c>
      <c r="F60" s="37">
        <v>0.95409999999999995</v>
      </c>
      <c r="G60" s="37">
        <v>1729758</v>
      </c>
      <c r="H60" s="38">
        <v>-8.1561330552499562</v>
      </c>
      <c r="I60" s="37">
        <v>647622.94393180998</v>
      </c>
      <c r="J60" s="37">
        <v>2.0078999999999998</v>
      </c>
      <c r="K60" s="37">
        <v>30.1647</v>
      </c>
      <c r="L60" s="38">
        <v>1</v>
      </c>
      <c r="M60" s="37">
        <v>338.21859999999998</v>
      </c>
      <c r="N60" s="37">
        <v>13.72482264800224</v>
      </c>
      <c r="O60" s="37">
        <v>2.3218221945666036E-2</v>
      </c>
      <c r="P60" s="38">
        <v>2.1686541418427963E-2</v>
      </c>
      <c r="Q60" s="37">
        <v>2.2783558453780923</v>
      </c>
      <c r="R60" s="41">
        <v>9.037744321153977E-3</v>
      </c>
      <c r="S60" s="33">
        <v>8.0082772214906672E-3</v>
      </c>
      <c r="T60" s="36">
        <v>38.299999999999997</v>
      </c>
      <c r="U60" s="34">
        <v>0.37974000833333332</v>
      </c>
      <c r="V60">
        <v>6.7371581123711897</v>
      </c>
    </row>
    <row r="61" spans="1:22" x14ac:dyDescent="0.2">
      <c r="A61" s="35"/>
      <c r="B61" s="36"/>
      <c r="C61" s="37"/>
      <c r="D61" s="37"/>
      <c r="E61" s="40"/>
      <c r="F61" s="37"/>
      <c r="G61" s="37"/>
      <c r="H61" s="38"/>
      <c r="I61" s="37"/>
      <c r="J61" s="37"/>
      <c r="K61" s="37"/>
      <c r="L61" s="38"/>
      <c r="M61" s="37"/>
      <c r="N61" s="37"/>
      <c r="O61" s="37"/>
      <c r="P61" s="38"/>
      <c r="Q61" s="37"/>
      <c r="R61" s="41"/>
      <c r="S61" s="33"/>
      <c r="T61" s="36"/>
      <c r="U61" s="34"/>
      <c r="V61"/>
    </row>
    <row r="62" spans="1:22" x14ac:dyDescent="0.2">
      <c r="A62" s="35" t="s">
        <v>44</v>
      </c>
      <c r="B62" s="36">
        <v>2014</v>
      </c>
      <c r="C62" s="8">
        <v>11.45</v>
      </c>
      <c r="D62" s="37">
        <v>3.4639206674729808</v>
      </c>
      <c r="E62" s="6">
        <v>-2.4717963435979054E-2</v>
      </c>
      <c r="F62" s="11">
        <v>1.0133000000000001</v>
      </c>
      <c r="G62" s="8">
        <v>0.87408600000000003</v>
      </c>
      <c r="H62" s="38">
        <v>-58.263632339733071</v>
      </c>
      <c r="I62" s="37">
        <v>8964.7923731800001</v>
      </c>
      <c r="J62" s="11">
        <v>1.2091000000000001</v>
      </c>
      <c r="K62" s="11">
        <v>56.898600000000002</v>
      </c>
      <c r="L62" s="38">
        <v>1</v>
      </c>
      <c r="M62" s="8">
        <v>162.20089999999999</v>
      </c>
      <c r="N62" s="8">
        <v>10.95831867751958</v>
      </c>
      <c r="O62" s="8">
        <v>1.1459537174885633E-2</v>
      </c>
      <c r="P62" s="8">
        <v>8.2005178293853051E-2</v>
      </c>
      <c r="Q62" s="8">
        <v>1.0080835716343806</v>
      </c>
      <c r="R62" s="41">
        <v>8.8176478897109556E-3</v>
      </c>
      <c r="S62" s="33">
        <v>9.5263087248195086E-2</v>
      </c>
      <c r="T62" s="36">
        <v>86.7</v>
      </c>
      <c r="U62" s="34">
        <v>0.30936659166666663</v>
      </c>
      <c r="V62">
        <v>29.85</v>
      </c>
    </row>
    <row r="63" spans="1:22" x14ac:dyDescent="0.2">
      <c r="A63" s="35" t="s">
        <v>44</v>
      </c>
      <c r="B63" s="36">
        <v>2015</v>
      </c>
      <c r="C63" s="8">
        <v>11.78</v>
      </c>
      <c r="D63" s="37">
        <v>0.40153816777985535</v>
      </c>
      <c r="E63" s="6">
        <v>8.7818177495177317E-3</v>
      </c>
      <c r="F63" s="11">
        <v>1.0017</v>
      </c>
      <c r="G63" s="8">
        <v>5.8222120000000004</v>
      </c>
      <c r="H63" s="38">
        <v>566.0914372270006</v>
      </c>
      <c r="I63" s="37">
        <v>8634.7961838600004</v>
      </c>
      <c r="J63" s="11">
        <v>1.2257</v>
      </c>
      <c r="K63" s="11">
        <v>52.116199999999999</v>
      </c>
      <c r="L63" s="38">
        <v>1</v>
      </c>
      <c r="M63" s="8">
        <v>137.55719999999999</v>
      </c>
      <c r="N63" s="8">
        <v>10.96669344402321</v>
      </c>
      <c r="O63" s="8">
        <v>1.2001820321178084E-2</v>
      </c>
      <c r="P63" s="8">
        <v>1.6305995757627582E-2</v>
      </c>
      <c r="Q63" s="8">
        <v>0.87846631227376037</v>
      </c>
      <c r="R63" s="41">
        <v>8.6929833192703754E-3</v>
      </c>
      <c r="S63" s="33">
        <v>4.523091029135138E-2</v>
      </c>
      <c r="T63" s="36">
        <v>87.6</v>
      </c>
      <c r="U63" s="34">
        <v>0.23487085833333335</v>
      </c>
      <c r="V63">
        <v>30.48</v>
      </c>
    </row>
    <row r="64" spans="1:22" x14ac:dyDescent="0.2">
      <c r="A64" s="35" t="s">
        <v>44</v>
      </c>
      <c r="B64" s="36">
        <v>2016</v>
      </c>
      <c r="C64" s="8">
        <v>12.01</v>
      </c>
      <c r="D64" s="37">
        <v>1.0766144435328846</v>
      </c>
      <c r="E64" s="6">
        <v>4.4896093479277475E-4</v>
      </c>
      <c r="F64" s="11">
        <v>1.0081</v>
      </c>
      <c r="G64" s="8">
        <v>2.608822</v>
      </c>
      <c r="H64" s="38">
        <v>-55.191909878925749</v>
      </c>
      <c r="I64" s="37">
        <v>10851.204227210001</v>
      </c>
      <c r="J64" s="11">
        <v>1.212</v>
      </c>
      <c r="K64" s="11">
        <v>49.637799999999999</v>
      </c>
      <c r="L64" s="38">
        <v>1</v>
      </c>
      <c r="M64" s="8">
        <v>141.39259999999999</v>
      </c>
      <c r="N64" s="8">
        <v>11.033287828547715</v>
      </c>
      <c r="O64" s="8">
        <v>1.1593097078720058E-2</v>
      </c>
      <c r="P64" s="8">
        <v>2.2082378909894486E-2</v>
      </c>
      <c r="Q64" s="8">
        <v>0.77133595487597084</v>
      </c>
      <c r="R64" s="41">
        <v>8.5685300718502354E-3</v>
      </c>
      <c r="S64" s="33">
        <v>0.11310164338924761</v>
      </c>
      <c r="T64" s="36">
        <v>87.2</v>
      </c>
      <c r="U64" s="34">
        <v>0.41611095833333328</v>
      </c>
      <c r="V64">
        <v>33.01</v>
      </c>
    </row>
    <row r="65" spans="1:22" x14ac:dyDescent="0.2">
      <c r="A65" s="35" t="s">
        <v>44</v>
      </c>
      <c r="B65" s="36">
        <v>2017</v>
      </c>
      <c r="C65" s="8">
        <v>13.56</v>
      </c>
      <c r="D65" s="37">
        <v>-0.53629415580811679</v>
      </c>
      <c r="E65" s="6">
        <v>1.2777750525808332E-2</v>
      </c>
      <c r="F65" s="11">
        <v>1.0053000000000001</v>
      </c>
      <c r="G65" s="8">
        <v>8.2040670000000002</v>
      </c>
      <c r="H65" s="38">
        <v>214.47400397574077</v>
      </c>
      <c r="I65" s="37">
        <v>14131.437000450002</v>
      </c>
      <c r="J65" s="11">
        <v>1.2369000000000001</v>
      </c>
      <c r="K65" s="11">
        <v>52.902200000000001</v>
      </c>
      <c r="L65" s="38">
        <v>1</v>
      </c>
      <c r="M65" s="8">
        <v>120.79179999999999</v>
      </c>
      <c r="N65" s="8">
        <v>11.136521834001668</v>
      </c>
      <c r="O65" s="8">
        <v>1.169526324184058E-2</v>
      </c>
      <c r="P65" s="8">
        <v>3.6756500225246701E-2</v>
      </c>
      <c r="Q65" s="8">
        <v>0.84220672244470629</v>
      </c>
      <c r="R65" s="41">
        <v>8.381317373064778E-3</v>
      </c>
      <c r="S65" s="33">
        <v>0.14053805237899461</v>
      </c>
      <c r="T65" s="36">
        <v>85</v>
      </c>
      <c r="U65" s="34">
        <v>0.15523289166666668</v>
      </c>
      <c r="V65">
        <v>30.39</v>
      </c>
    </row>
    <row r="66" spans="1:22" x14ac:dyDescent="0.2">
      <c r="A66" s="35" t="s">
        <v>44</v>
      </c>
      <c r="B66" s="36">
        <v>2018</v>
      </c>
      <c r="C66" s="8">
        <v>14.84</v>
      </c>
      <c r="D66" s="37">
        <v>0.16036810694664499</v>
      </c>
      <c r="E66" s="6">
        <v>7.2539720226045693E-3</v>
      </c>
      <c r="F66" s="11">
        <v>1.0057</v>
      </c>
      <c r="G66" s="8">
        <v>8.0040080000000007</v>
      </c>
      <c r="H66" s="38">
        <v>-2.4385344488288494</v>
      </c>
      <c r="I66" s="37">
        <v>14099.56739889</v>
      </c>
      <c r="J66" s="11">
        <v>1.2592000000000001</v>
      </c>
      <c r="K66" s="11">
        <v>53.905900000000003</v>
      </c>
      <c r="L66" s="38">
        <v>1</v>
      </c>
      <c r="M66" s="8">
        <v>121.7817</v>
      </c>
      <c r="N66" s="8">
        <v>11.127487654506206</v>
      </c>
      <c r="O66" s="8">
        <v>1.2181190602168655E-2</v>
      </c>
      <c r="P66" s="8">
        <v>2.4555463113418403E-2</v>
      </c>
      <c r="Q66" s="8">
        <v>1.0355180416789647</v>
      </c>
      <c r="R66" s="41">
        <v>8.0616667018056521E-3</v>
      </c>
      <c r="S66" s="33">
        <v>2.9216410393568825E-2</v>
      </c>
      <c r="T66" s="36">
        <v>82.5</v>
      </c>
      <c r="U66" s="34">
        <v>2.8814983333333336E-2</v>
      </c>
      <c r="V66">
        <v>30.12</v>
      </c>
    </row>
    <row r="67" spans="1:22" x14ac:dyDescent="0.2">
      <c r="A67" s="35" t="s">
        <v>44</v>
      </c>
      <c r="B67" s="36">
        <v>2019</v>
      </c>
      <c r="C67" s="8">
        <v>14.71</v>
      </c>
      <c r="D67" s="37">
        <v>0.87411559031539987</v>
      </c>
      <c r="E67" s="6">
        <v>3.1295223494471225E-4</v>
      </c>
      <c r="F67" s="11">
        <v>1.0302</v>
      </c>
      <c r="G67" s="8">
        <v>8.2698160000000005</v>
      </c>
      <c r="H67" s="38">
        <v>3.3209362109583069</v>
      </c>
      <c r="I67" s="37">
        <v>16429.123087650001</v>
      </c>
      <c r="J67" s="11">
        <v>1.1958</v>
      </c>
      <c r="K67" s="11">
        <v>54.519500000000001</v>
      </c>
      <c r="L67" s="38">
        <v>1</v>
      </c>
      <c r="M67" s="8">
        <v>105.87909999999999</v>
      </c>
      <c r="N67" s="8">
        <v>11.176052118915381</v>
      </c>
      <c r="O67" s="8">
        <v>1.2079090149989027E-2</v>
      </c>
      <c r="P67" s="8">
        <v>1.5178804868937785E-2</v>
      </c>
      <c r="Q67" s="8">
        <v>1.208592904565529</v>
      </c>
      <c r="R67" s="41">
        <v>8.2282593317890389E-3</v>
      </c>
      <c r="S67" s="33">
        <v>3.5027857139206212E-2</v>
      </c>
      <c r="T67" s="36">
        <v>80.3</v>
      </c>
      <c r="U67" s="34">
        <v>2.3433308333333333E-2</v>
      </c>
      <c r="V67">
        <v>30.86</v>
      </c>
    </row>
    <row r="68" spans="1:22" x14ac:dyDescent="0.2">
      <c r="A68" s="35" t="s">
        <v>44</v>
      </c>
      <c r="B68" s="36">
        <v>2020</v>
      </c>
      <c r="C68" s="8">
        <v>15.1</v>
      </c>
      <c r="D68" s="37">
        <v>-10.251363072103359</v>
      </c>
      <c r="E68" s="6">
        <v>0.11848529341336508</v>
      </c>
      <c r="F68" s="11">
        <v>1.0092000000000001</v>
      </c>
      <c r="G68" s="8">
        <v>8.3592080000000006</v>
      </c>
      <c r="H68" s="38">
        <v>1.0809430342827475</v>
      </c>
      <c r="I68" s="37">
        <v>19894.894178080001</v>
      </c>
      <c r="J68" s="11">
        <v>0.9526</v>
      </c>
      <c r="K68" s="11">
        <v>66.985100000000003</v>
      </c>
      <c r="L68" s="38">
        <v>1</v>
      </c>
      <c r="M68" s="8">
        <v>116.0514</v>
      </c>
      <c r="N68" s="8">
        <v>11.3186902167475</v>
      </c>
      <c r="O68" s="8">
        <v>1.2601432231688208E-2</v>
      </c>
      <c r="P68" s="8">
        <v>1.1432978498664792E-2</v>
      </c>
      <c r="Q68" s="8">
        <v>1.2846188592614374</v>
      </c>
      <c r="R68" s="41">
        <v>7.8447390540070609E-3</v>
      </c>
      <c r="S68" s="33">
        <v>-4.5924613649292165E-2</v>
      </c>
      <c r="T68" s="36">
        <v>79.2</v>
      </c>
      <c r="U68" s="34">
        <v>0.11969824166666666</v>
      </c>
      <c r="V68">
        <v>29.41</v>
      </c>
    </row>
    <row r="69" spans="1:22" x14ac:dyDescent="0.2">
      <c r="A69" s="35" t="s">
        <v>44</v>
      </c>
      <c r="B69" s="36">
        <v>2021</v>
      </c>
      <c r="C69" s="8">
        <v>15.69</v>
      </c>
      <c r="D69" s="37">
        <v>-1.8079634368200523</v>
      </c>
      <c r="E69" s="6">
        <v>2.7918242812982195E-2</v>
      </c>
      <c r="F69" s="11">
        <v>1.0026999999999999</v>
      </c>
      <c r="G69" s="8">
        <v>5.3151659999999996</v>
      </c>
      <c r="H69" s="38">
        <v>-36.415435529298954</v>
      </c>
      <c r="I69" s="37">
        <v>18713.399542600004</v>
      </c>
      <c r="J69" s="11">
        <v>0.95079999999999998</v>
      </c>
      <c r="K69" s="11">
        <v>60.294199999999996</v>
      </c>
      <c r="L69" s="38">
        <v>1</v>
      </c>
      <c r="M69" s="8">
        <v>99.477099999999993</v>
      </c>
      <c r="N69" s="8">
        <v>11.431544399261655</v>
      </c>
      <c r="O69" s="8">
        <v>1.2815822842012868E-2</v>
      </c>
      <c r="P69" s="8">
        <v>1.6245120285438137E-2</v>
      </c>
      <c r="Q69" s="8">
        <v>0.6942693968027227</v>
      </c>
      <c r="R69" s="41">
        <v>7.3121917891582899E-3</v>
      </c>
      <c r="S69" s="33">
        <v>0.16411731154872483</v>
      </c>
      <c r="T69" s="36">
        <v>81</v>
      </c>
      <c r="U69" s="34">
        <v>0.12740310000000002</v>
      </c>
      <c r="V69">
        <v>28.57</v>
      </c>
    </row>
    <row r="70" spans="1:22" x14ac:dyDescent="0.2">
      <c r="A70" s="35" t="s">
        <v>44</v>
      </c>
      <c r="B70" s="36">
        <v>2022</v>
      </c>
      <c r="C70" s="8">
        <v>14.37</v>
      </c>
      <c r="D70" s="37">
        <v>0.10656730820999023</v>
      </c>
      <c r="E70" s="6">
        <v>1.0527271290760634E-2</v>
      </c>
      <c r="F70" s="11">
        <v>1.0046999999999999</v>
      </c>
      <c r="G70" s="8">
        <v>0</v>
      </c>
      <c r="H70" s="38">
        <v>-100</v>
      </c>
      <c r="I70" s="37">
        <v>11087.138282400001</v>
      </c>
      <c r="J70" s="11">
        <v>1.0691999999999999</v>
      </c>
      <c r="K70" s="11">
        <v>57.130299999999998</v>
      </c>
      <c r="L70" s="38">
        <v>1</v>
      </c>
      <c r="M70" s="8">
        <v>72.409199999999998</v>
      </c>
      <c r="N70" s="8">
        <v>11.37789690643765</v>
      </c>
      <c r="O70" s="8">
        <v>1.2850282529756908E-2</v>
      </c>
      <c r="P70" s="8">
        <v>2.1373553424428243E-2</v>
      </c>
      <c r="Q70" s="8">
        <v>1.3000540134800844</v>
      </c>
      <c r="R70" s="41">
        <v>7.303412941941566E-3</v>
      </c>
      <c r="S70" s="33">
        <v>7.355736131395868E-2</v>
      </c>
      <c r="T70" s="36">
        <v>80.8</v>
      </c>
      <c r="U70" s="34">
        <v>0.28625994999999999</v>
      </c>
      <c r="V70">
        <v>30.74</v>
      </c>
    </row>
    <row r="71" spans="1:22" x14ac:dyDescent="0.2">
      <c r="A71" s="35"/>
      <c r="B71" s="36"/>
      <c r="C71" s="8"/>
      <c r="D71" s="37"/>
      <c r="E71" s="6"/>
      <c r="F71" s="11"/>
      <c r="G71" s="8"/>
      <c r="H71" s="38"/>
      <c r="I71" s="37"/>
      <c r="J71" s="11"/>
      <c r="K71" s="11"/>
      <c r="L71" s="38"/>
      <c r="M71" s="8"/>
      <c r="N71" s="8"/>
      <c r="O71" s="8"/>
      <c r="P71" s="8"/>
      <c r="Q71" s="8"/>
      <c r="R71" s="41"/>
      <c r="S71" s="33"/>
      <c r="T71" s="36"/>
      <c r="U71" s="34"/>
      <c r="V71"/>
    </row>
    <row r="72" spans="1:22" x14ac:dyDescent="0.2">
      <c r="A72" s="35" t="s">
        <v>46</v>
      </c>
      <c r="B72" s="36">
        <v>2014</v>
      </c>
      <c r="C72" s="8">
        <v>7.6629121728209046</v>
      </c>
      <c r="D72" s="37">
        <v>2.4581042562452113</v>
      </c>
      <c r="E72" s="6">
        <v>-1.4953479897285571E-2</v>
      </c>
      <c r="F72" s="11">
        <v>1.0133000000000001</v>
      </c>
      <c r="G72" s="8">
        <v>0</v>
      </c>
      <c r="H72" s="38">
        <v>-100</v>
      </c>
      <c r="I72" s="37">
        <v>3941.0261362200004</v>
      </c>
      <c r="J72" s="11">
        <v>1.5459000000000001</v>
      </c>
      <c r="K72" s="11">
        <v>39.275700000000001</v>
      </c>
      <c r="L72" s="38">
        <v>1</v>
      </c>
      <c r="M72" s="8">
        <v>321.80700000000002</v>
      </c>
      <c r="N72" s="8">
        <v>11.546737405897654</v>
      </c>
      <c r="O72" s="8">
        <v>1.23008778223327E-2</v>
      </c>
      <c r="P72" s="8">
        <v>8.3624159954467932E-6</v>
      </c>
      <c r="Q72" s="8">
        <v>0.55507976373215961</v>
      </c>
      <c r="R72" s="41">
        <v>8.7594322972117493E-3</v>
      </c>
      <c r="S72" s="33">
        <v>9.5263087248195086E-2</v>
      </c>
      <c r="T72" s="36">
        <v>86.7</v>
      </c>
      <c r="U72" s="34">
        <v>0.30936659166666663</v>
      </c>
      <c r="V72">
        <v>29.85</v>
      </c>
    </row>
    <row r="73" spans="1:22" x14ac:dyDescent="0.2">
      <c r="A73" s="35" t="s">
        <v>46</v>
      </c>
      <c r="B73" s="36">
        <v>2015</v>
      </c>
      <c r="C73" s="8">
        <v>7.2178486985072947</v>
      </c>
      <c r="D73" s="37">
        <v>0.49229307525553867</v>
      </c>
      <c r="E73" s="6">
        <v>9.7518331812602842E-3</v>
      </c>
      <c r="F73" s="11">
        <v>0.99870000000000003</v>
      </c>
      <c r="G73" s="8">
        <v>0.14399999999999999</v>
      </c>
      <c r="H73" s="38">
        <v>0</v>
      </c>
      <c r="I73" s="37">
        <v>4862.9910159900001</v>
      </c>
      <c r="J73" s="11">
        <v>1.5126999999999999</v>
      </c>
      <c r="K73" s="11">
        <v>41.814900000000002</v>
      </c>
      <c r="L73" s="38">
        <v>1</v>
      </c>
      <c r="M73" s="8">
        <v>252.9624</v>
      </c>
      <c r="N73" s="8">
        <v>11.544891240940499</v>
      </c>
      <c r="O73" s="8">
        <v>1.2892957113904447E-2</v>
      </c>
      <c r="P73" s="8">
        <v>6.7154670639159482E-4</v>
      </c>
      <c r="Q73" s="8">
        <v>0.54968258399700309</v>
      </c>
      <c r="R73" s="41">
        <v>8.1834032055194648E-3</v>
      </c>
      <c r="S73" s="33">
        <v>4.523091029135138E-2</v>
      </c>
      <c r="T73" s="36">
        <v>87.6</v>
      </c>
      <c r="U73" s="34">
        <v>0.23487085833333335</v>
      </c>
      <c r="V73">
        <v>30.48</v>
      </c>
    </row>
    <row r="74" spans="1:22" x14ac:dyDescent="0.2">
      <c r="A74" s="35" t="s">
        <v>46</v>
      </c>
      <c r="B74" s="36">
        <v>2016</v>
      </c>
      <c r="C74" s="8">
        <v>5.6373604247148679</v>
      </c>
      <c r="D74" s="37">
        <v>0.96913377253402855</v>
      </c>
      <c r="E74" s="6">
        <v>4.3011424680427981E-3</v>
      </c>
      <c r="F74" s="11">
        <v>1.0063</v>
      </c>
      <c r="G74" s="8">
        <v>0.53800000000000003</v>
      </c>
      <c r="H74" s="38">
        <v>273.61111111111114</v>
      </c>
      <c r="I74" s="37">
        <v>5708.4055768600001</v>
      </c>
      <c r="J74" s="11">
        <v>1.4617</v>
      </c>
      <c r="K74" s="11">
        <v>42.762599999999999</v>
      </c>
      <c r="L74" s="38">
        <v>1</v>
      </c>
      <c r="M74" s="8">
        <v>254.69069999999999</v>
      </c>
      <c r="N74" s="8">
        <v>11.537470162231424</v>
      </c>
      <c r="O74" s="8">
        <v>1.5134258850600275E-2</v>
      </c>
      <c r="P74" s="8">
        <v>2.4579245134361814E-5</v>
      </c>
      <c r="Q74" s="8">
        <v>0.59305622583011286</v>
      </c>
      <c r="R74" s="41">
        <v>8.1384067119853274E-3</v>
      </c>
      <c r="S74" s="33">
        <v>0.11310164338924761</v>
      </c>
      <c r="T74" s="36">
        <v>87.2</v>
      </c>
      <c r="U74" s="34">
        <v>0.41611095833333328</v>
      </c>
      <c r="V74">
        <v>33.01</v>
      </c>
    </row>
    <row r="75" spans="1:22" x14ac:dyDescent="0.2">
      <c r="A75" s="35" t="s">
        <v>46</v>
      </c>
      <c r="B75" s="36">
        <v>2017</v>
      </c>
      <c r="C75" s="8">
        <v>6.2116973658475709</v>
      </c>
      <c r="D75" s="37">
        <v>0.33216020799860935</v>
      </c>
      <c r="E75" s="6">
        <v>5.5818915586541128E-3</v>
      </c>
      <c r="F75" s="11">
        <v>1.0082</v>
      </c>
      <c r="G75" s="8">
        <v>1.4319999999999999</v>
      </c>
      <c r="H75" s="38">
        <v>166.17100371747208</v>
      </c>
      <c r="I75" s="37">
        <v>7651.9842432000005</v>
      </c>
      <c r="J75" s="11">
        <v>1.3335999999999999</v>
      </c>
      <c r="K75" s="11">
        <v>44.250399999999999</v>
      </c>
      <c r="L75" s="38">
        <v>1</v>
      </c>
      <c r="M75" s="8">
        <v>247.7321</v>
      </c>
      <c r="N75" s="8">
        <v>11.691592467006416</v>
      </c>
      <c r="O75" s="8">
        <v>1.5599646303833222E-2</v>
      </c>
      <c r="P75" s="8">
        <v>8.6791605796912474E-5</v>
      </c>
      <c r="Q75" s="8">
        <v>0.72982756890457656</v>
      </c>
      <c r="R75" s="41">
        <v>7.6280825753869876E-3</v>
      </c>
      <c r="S75" s="33">
        <v>0.14053805237899461</v>
      </c>
      <c r="T75" s="36">
        <v>85</v>
      </c>
      <c r="U75" s="34">
        <v>0.15523289166666668</v>
      </c>
      <c r="V75">
        <v>30.39</v>
      </c>
    </row>
    <row r="76" spans="1:22" x14ac:dyDescent="0.2">
      <c r="A76" s="35" t="s">
        <v>46</v>
      </c>
      <c r="B76" s="36">
        <v>2018</v>
      </c>
      <c r="C76" s="8">
        <v>6.5707940724622711</v>
      </c>
      <c r="D76" s="37">
        <v>0.26183325036379557</v>
      </c>
      <c r="E76" s="6">
        <v>7.8770136809765707E-3</v>
      </c>
      <c r="F76" s="11">
        <v>1.0108999999999999</v>
      </c>
      <c r="G76" s="8">
        <v>2.66</v>
      </c>
      <c r="H76" s="38">
        <v>85.754189944134097</v>
      </c>
      <c r="I76" s="37">
        <v>9165.28689648</v>
      </c>
      <c r="J76" s="11">
        <v>1.3928</v>
      </c>
      <c r="K76" s="11">
        <v>47.342100000000002</v>
      </c>
      <c r="L76" s="38">
        <v>1</v>
      </c>
      <c r="M76" s="8">
        <v>242.7698</v>
      </c>
      <c r="N76" s="8">
        <v>11.65895744343498</v>
      </c>
      <c r="O76" s="8">
        <v>1.5782629151493192E-2</v>
      </c>
      <c r="P76" s="8">
        <v>4.3146014354648739E-5</v>
      </c>
      <c r="Q76" s="8">
        <v>0.98089622498887619</v>
      </c>
      <c r="R76" s="41">
        <v>8.3038452556388181E-3</v>
      </c>
      <c r="S76" s="33">
        <v>2.9216410393568825E-2</v>
      </c>
      <c r="T76" s="36">
        <v>82.5</v>
      </c>
      <c r="U76" s="34">
        <v>2.8814983333333336E-2</v>
      </c>
      <c r="V76">
        <v>30.12</v>
      </c>
    </row>
    <row r="77" spans="1:22" x14ac:dyDescent="0.2">
      <c r="A77" s="35" t="s">
        <v>46</v>
      </c>
      <c r="B77" s="36">
        <v>2019</v>
      </c>
      <c r="C77" s="8">
        <v>6.6285801990473434</v>
      </c>
      <c r="D77" s="37">
        <v>0.42433749020278239</v>
      </c>
      <c r="E77" s="6">
        <v>4.7650847133903973E-3</v>
      </c>
      <c r="F77" s="11">
        <v>1.0249999999999999</v>
      </c>
      <c r="G77" s="8">
        <v>2.4569999999999999</v>
      </c>
      <c r="H77" s="38">
        <v>-7.6315789473684319</v>
      </c>
      <c r="I77" s="37">
        <v>9199.3253034600002</v>
      </c>
      <c r="J77" s="11">
        <v>1.2667999999999999</v>
      </c>
      <c r="K77" s="11">
        <v>48.727400000000003</v>
      </c>
      <c r="L77" s="38">
        <v>1</v>
      </c>
      <c r="M77" s="8">
        <v>231.85720000000001</v>
      </c>
      <c r="N77" s="8">
        <v>11.721160610610804</v>
      </c>
      <c r="O77" s="8">
        <v>1.5350955924278748E-2</v>
      </c>
      <c r="P77" s="8">
        <v>2.3743349951745699E-5</v>
      </c>
      <c r="Q77" s="8">
        <v>1.0926790829928514</v>
      </c>
      <c r="R77" s="41">
        <v>7.8581789617418532E-3</v>
      </c>
      <c r="S77" s="33">
        <v>3.5027857139206212E-2</v>
      </c>
      <c r="T77" s="36">
        <v>80.3</v>
      </c>
      <c r="U77" s="34">
        <v>2.3433308333333333E-2</v>
      </c>
      <c r="V77">
        <v>30.86</v>
      </c>
    </row>
    <row r="78" spans="1:22" x14ac:dyDescent="0.2">
      <c r="A78" s="35" t="s">
        <v>46</v>
      </c>
      <c r="B78" s="36">
        <v>2020</v>
      </c>
      <c r="C78" s="8">
        <v>5.5764192974789957</v>
      </c>
      <c r="D78" s="37">
        <v>-3.4268327318099923</v>
      </c>
      <c r="E78" s="6">
        <v>4.7949885882122206E-2</v>
      </c>
      <c r="F78" s="11">
        <v>1.0204</v>
      </c>
      <c r="G78" s="8">
        <v>1.929</v>
      </c>
      <c r="H78" s="38">
        <v>-21.489621489621484</v>
      </c>
      <c r="I78" s="37">
        <v>14989.54643004</v>
      </c>
      <c r="J78" s="11">
        <v>1.0722</v>
      </c>
      <c r="K78" s="11">
        <v>51.255800000000001</v>
      </c>
      <c r="L78" s="38">
        <v>1</v>
      </c>
      <c r="M78" s="8">
        <v>229.9091</v>
      </c>
      <c r="N78" s="8">
        <v>11.829682548140742</v>
      </c>
      <c r="O78" s="38">
        <v>1.4510220861073765E-2</v>
      </c>
      <c r="P78" s="8">
        <v>1.5254951246672897E-5</v>
      </c>
      <c r="Q78" s="8">
        <v>0.61918273264555279</v>
      </c>
      <c r="R78" s="41">
        <v>7.4651912083545952E-3</v>
      </c>
      <c r="S78" s="33">
        <v>-4.5924613649292165E-2</v>
      </c>
      <c r="T78" s="36">
        <v>79.2</v>
      </c>
      <c r="U78" s="34">
        <v>0.11969824166666666</v>
      </c>
      <c r="V78">
        <v>29.41</v>
      </c>
    </row>
    <row r="79" spans="1:22" x14ac:dyDescent="0.2">
      <c r="A79" s="35" t="s">
        <v>46</v>
      </c>
      <c r="B79" s="36">
        <v>2021</v>
      </c>
      <c r="C79" s="8">
        <v>5.3662474185676174</v>
      </c>
      <c r="D79" s="37">
        <v>-3.3062498939082348</v>
      </c>
      <c r="E79" s="6">
        <v>4.296267606756931E-2</v>
      </c>
      <c r="F79" s="11">
        <v>1.0371999999999999</v>
      </c>
      <c r="G79" s="8">
        <v>1.6080000000000001</v>
      </c>
      <c r="H79" s="38">
        <v>-16.640746500777603</v>
      </c>
      <c r="I79" s="37">
        <v>19746.315063419999</v>
      </c>
      <c r="J79" s="11">
        <v>1.0547</v>
      </c>
      <c r="K79" s="11">
        <v>50.7575</v>
      </c>
      <c r="L79" s="38">
        <v>1</v>
      </c>
      <c r="M79" s="8">
        <v>216.3974</v>
      </c>
      <c r="N79" s="8">
        <v>11.922517062066369</v>
      </c>
      <c r="O79" s="8">
        <v>1.4441301558269724E-2</v>
      </c>
      <c r="P79" s="8">
        <v>1.9446256112430014E-5</v>
      </c>
      <c r="Q79" s="8">
        <v>0.36199463916569047</v>
      </c>
      <c r="R79" s="41">
        <v>7.1106907028460438E-3</v>
      </c>
      <c r="S79" s="33">
        <v>0.16411731154872483</v>
      </c>
      <c r="T79" s="36">
        <v>81</v>
      </c>
      <c r="U79" s="34">
        <v>0.12740310000000002</v>
      </c>
      <c r="V79">
        <v>28.57</v>
      </c>
    </row>
    <row r="80" spans="1:22" x14ac:dyDescent="0.2">
      <c r="A80" s="35" t="s">
        <v>46</v>
      </c>
      <c r="B80" s="36">
        <v>2022</v>
      </c>
      <c r="C80" s="8">
        <v>3.8708908128593502</v>
      </c>
      <c r="D80" s="37">
        <v>0.76650399785013024</v>
      </c>
      <c r="E80" s="6">
        <v>6.6323224677463056E-3</v>
      </c>
      <c r="F80" s="11">
        <v>1.0304</v>
      </c>
      <c r="G80" s="8">
        <v>2.3109999999999999</v>
      </c>
      <c r="H80" s="38">
        <v>43.718905472636806</v>
      </c>
      <c r="I80" s="37">
        <v>11483.88547152</v>
      </c>
      <c r="J80" s="11">
        <v>1.2262</v>
      </c>
      <c r="K80" s="11">
        <v>59.304699999999997</v>
      </c>
      <c r="L80" s="38">
        <v>1</v>
      </c>
      <c r="M80" s="8">
        <v>247.23519999999999</v>
      </c>
      <c r="N80" s="8">
        <v>11.791697315028452</v>
      </c>
      <c r="O80" s="8">
        <v>1.4441301558269724E-2</v>
      </c>
      <c r="P80" s="8">
        <v>5.5618370766933474E-5</v>
      </c>
      <c r="Q80" s="8">
        <v>1.5162518220402903</v>
      </c>
      <c r="R80" s="41">
        <v>7.9309038648356055E-3</v>
      </c>
      <c r="S80" s="33">
        <v>7.355736131395868E-2</v>
      </c>
      <c r="T80" s="36">
        <v>80.8</v>
      </c>
      <c r="U80" s="34">
        <v>0.28625994999999999</v>
      </c>
      <c r="V80">
        <v>30.74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C63F-8AC2-EE4B-B4B9-344147BFE2D2}">
  <dimension ref="A1:V20"/>
  <sheetViews>
    <sheetView workbookViewId="0">
      <selection sqref="A1:XFD1"/>
    </sheetView>
  </sheetViews>
  <sheetFormatPr baseColWidth="10" defaultColWidth="11" defaultRowHeight="16" x14ac:dyDescent="0.2"/>
  <cols>
    <col min="1" max="1" width="27" style="1" bestFit="1" customWidth="1"/>
    <col min="2" max="4" width="10.83203125" style="1"/>
    <col min="5" max="8" width="14.33203125" style="1" customWidth="1"/>
    <col min="9" max="9" width="14" style="1" customWidth="1"/>
    <col min="10" max="10" width="10.5" style="1" customWidth="1"/>
    <col min="11" max="17" width="10.83203125" style="1"/>
    <col min="18" max="18" width="15.5" style="1" customWidth="1"/>
    <col min="19" max="22" width="10.83203125" style="1"/>
  </cols>
  <sheetData>
    <row r="1" spans="1:22" s="17" customFormat="1" ht="81" customHeight="1" x14ac:dyDescent="0.2">
      <c r="A1" s="17" t="s">
        <v>0</v>
      </c>
      <c r="B1" s="17" t="s">
        <v>1</v>
      </c>
      <c r="C1" s="45" t="s">
        <v>102</v>
      </c>
      <c r="D1" s="45" t="s">
        <v>103</v>
      </c>
      <c r="E1" s="46" t="s">
        <v>104</v>
      </c>
      <c r="F1" s="45" t="s">
        <v>105</v>
      </c>
      <c r="G1" s="45" t="s">
        <v>10</v>
      </c>
      <c r="H1" s="18" t="s">
        <v>87</v>
      </c>
      <c r="I1" s="18" t="s">
        <v>2</v>
      </c>
      <c r="J1" s="18" t="s">
        <v>3</v>
      </c>
      <c r="K1" s="45" t="s">
        <v>4</v>
      </c>
      <c r="L1" s="18" t="s">
        <v>5</v>
      </c>
      <c r="M1" s="18" t="s">
        <v>6</v>
      </c>
      <c r="N1" s="45" t="s">
        <v>106</v>
      </c>
      <c r="O1" s="45" t="s">
        <v>107</v>
      </c>
      <c r="P1" s="45" t="s">
        <v>108</v>
      </c>
      <c r="Q1" s="45" t="s">
        <v>109</v>
      </c>
      <c r="R1" s="19" t="s">
        <v>7</v>
      </c>
      <c r="S1" s="17" t="s">
        <v>8</v>
      </c>
      <c r="T1" s="17" t="s">
        <v>101</v>
      </c>
      <c r="U1" s="17" t="s">
        <v>9</v>
      </c>
      <c r="V1" s="17" t="s">
        <v>100</v>
      </c>
    </row>
    <row r="2" spans="1:22" x14ac:dyDescent="0.2">
      <c r="A2" s="35" t="s">
        <v>45</v>
      </c>
      <c r="B2" s="36">
        <v>2014</v>
      </c>
      <c r="C2" s="8">
        <v>15.149880069065187</v>
      </c>
      <c r="D2" s="37">
        <v>2.8497108543346235</v>
      </c>
      <c r="E2" s="6">
        <v>-2.24164647077192E-2</v>
      </c>
      <c r="F2" s="11">
        <v>0.98770000000000002</v>
      </c>
      <c r="G2" s="8">
        <v>14.012370000000001</v>
      </c>
      <c r="H2" s="38">
        <v>1012.2526331163446</v>
      </c>
      <c r="I2" s="37">
        <v>8121.996855299999</v>
      </c>
      <c r="J2" s="11">
        <v>1.7015</v>
      </c>
      <c r="K2" s="11">
        <v>37.5321</v>
      </c>
      <c r="L2" s="38">
        <v>1</v>
      </c>
      <c r="M2" s="8">
        <v>90.609700000000004</v>
      </c>
      <c r="N2" s="8">
        <v>9.7269691687145237</v>
      </c>
      <c r="O2" s="8">
        <v>1.41734564039639E-2</v>
      </c>
      <c r="P2" s="8">
        <v>0.1733724295317384</v>
      </c>
      <c r="Q2" s="8">
        <v>0.93641817657167226</v>
      </c>
      <c r="R2" s="41">
        <v>8.5512695375381375E-3</v>
      </c>
      <c r="S2" s="33">
        <v>9.5263087248195086E-2</v>
      </c>
      <c r="T2" s="36">
        <v>86.7</v>
      </c>
      <c r="U2" s="34">
        <v>0.30936659166666663</v>
      </c>
      <c r="V2">
        <v>29.85</v>
      </c>
    </row>
    <row r="3" spans="1:22" x14ac:dyDescent="0.2">
      <c r="A3" s="35" t="s">
        <v>45</v>
      </c>
      <c r="B3" s="36">
        <v>2015</v>
      </c>
      <c r="C3" s="8">
        <v>13.291002864194029</v>
      </c>
      <c r="D3" s="37">
        <v>1.5646673818619096E-2</v>
      </c>
      <c r="E3" s="6">
        <v>8.4668404092734968E-3</v>
      </c>
      <c r="F3" s="11">
        <v>0.98240000000000005</v>
      </c>
      <c r="G3" s="8">
        <v>14.092328</v>
      </c>
      <c r="H3" s="38">
        <v>0.57062438402639615</v>
      </c>
      <c r="I3" s="37">
        <v>7164.7801751200013</v>
      </c>
      <c r="J3" s="11">
        <v>1.6600999999999999</v>
      </c>
      <c r="K3" s="11">
        <v>52.167700000000004</v>
      </c>
      <c r="L3" s="38">
        <v>1</v>
      </c>
      <c r="M3" s="8">
        <v>62.770400000000002</v>
      </c>
      <c r="N3" s="8">
        <v>9.7692627538468919</v>
      </c>
      <c r="O3" s="8">
        <v>1.5767797673008375E-2</v>
      </c>
      <c r="P3" s="8">
        <v>0.16657656762262224</v>
      </c>
      <c r="Q3" s="8">
        <v>0.99425149865891316</v>
      </c>
      <c r="R3" s="41">
        <v>7.8709916105135173E-3</v>
      </c>
      <c r="S3" s="33">
        <v>4.523091029135138E-2</v>
      </c>
      <c r="T3" s="36">
        <v>87.6</v>
      </c>
      <c r="U3" s="34">
        <v>0.23487085833333335</v>
      </c>
      <c r="V3">
        <v>30.48</v>
      </c>
    </row>
    <row r="4" spans="1:22" x14ac:dyDescent="0.2">
      <c r="A4" s="35" t="s">
        <v>45</v>
      </c>
      <c r="B4" s="36">
        <v>2016</v>
      </c>
      <c r="C4" s="8">
        <v>12.381088786685446</v>
      </c>
      <c r="D4" s="37">
        <v>0.30519466143563739</v>
      </c>
      <c r="E4" s="6">
        <v>4.9385278532262412E-3</v>
      </c>
      <c r="F4" s="11">
        <v>0.98140000000000005</v>
      </c>
      <c r="G4" s="8">
        <v>30.533912000000001</v>
      </c>
      <c r="H4" s="38">
        <v>116.67046069322258</v>
      </c>
      <c r="I4" s="37">
        <v>7722.3865553799997</v>
      </c>
      <c r="J4" s="11">
        <v>1.5903</v>
      </c>
      <c r="K4" s="11">
        <v>54.900599999999997</v>
      </c>
      <c r="L4" s="38">
        <v>1</v>
      </c>
      <c r="M4" s="8">
        <v>94.206400000000002</v>
      </c>
      <c r="N4" s="8">
        <v>9.8709232546138175</v>
      </c>
      <c r="O4" s="8">
        <v>1.4391684580853693E-2</v>
      </c>
      <c r="P4" s="8">
        <v>0.15671879430870408</v>
      </c>
      <c r="Q4" s="8">
        <v>0.88828270592620207</v>
      </c>
      <c r="R4" s="41">
        <v>8.0155657253937786E-3</v>
      </c>
      <c r="S4" s="33">
        <v>0.11310164338924761</v>
      </c>
      <c r="T4" s="36">
        <v>87.2</v>
      </c>
      <c r="U4" s="34">
        <v>0.41611095833333328</v>
      </c>
      <c r="V4">
        <v>33.01</v>
      </c>
    </row>
    <row r="5" spans="1:22" x14ac:dyDescent="0.2">
      <c r="A5" s="35" t="s">
        <v>45</v>
      </c>
      <c r="B5" s="36">
        <v>2017</v>
      </c>
      <c r="C5" s="8">
        <v>11.96370943907613</v>
      </c>
      <c r="D5" s="37">
        <v>1.4380064385005225</v>
      </c>
      <c r="E5" s="6">
        <v>-7.8399170829455255E-3</v>
      </c>
      <c r="F5" s="11">
        <v>0.98380000000000001</v>
      </c>
      <c r="G5" s="8">
        <v>55.928646000000001</v>
      </c>
      <c r="H5" s="38">
        <v>83.168949985838694</v>
      </c>
      <c r="I5" s="37">
        <v>6219.2727092099994</v>
      </c>
      <c r="J5" s="11">
        <v>1.51</v>
      </c>
      <c r="K5" s="11">
        <v>55.000900000000001</v>
      </c>
      <c r="L5" s="38">
        <v>1</v>
      </c>
      <c r="M5" s="8">
        <v>100.28700000000001</v>
      </c>
      <c r="N5" s="8">
        <v>10.014463861567188</v>
      </c>
      <c r="O5" s="8">
        <v>1.4457320239467508E-2</v>
      </c>
      <c r="P5" s="8">
        <v>6.8065531580905989E-2</v>
      </c>
      <c r="Q5" s="8">
        <v>0.89305257750379696</v>
      </c>
      <c r="R5" s="41">
        <v>7.7527192075844114E-3</v>
      </c>
      <c r="S5" s="33">
        <v>0.14053805237899461</v>
      </c>
      <c r="T5" s="36">
        <v>85</v>
      </c>
      <c r="U5" s="34">
        <v>0.15523289166666668</v>
      </c>
      <c r="V5">
        <v>30.39</v>
      </c>
    </row>
    <row r="6" spans="1:22" x14ac:dyDescent="0.2">
      <c r="A6" s="35" t="s">
        <v>45</v>
      </c>
      <c r="B6" s="36">
        <v>2018</v>
      </c>
      <c r="C6" s="8">
        <v>12.587353192908786</v>
      </c>
      <c r="D6" s="37">
        <v>0.47320521008979516</v>
      </c>
      <c r="E6" s="6">
        <v>2.3928824298581493E-3</v>
      </c>
      <c r="F6" s="11">
        <v>0.98280000000000001</v>
      </c>
      <c r="G6" s="8">
        <v>62.894947000000002</v>
      </c>
      <c r="H6" s="38">
        <v>12.45569399266344</v>
      </c>
      <c r="I6" s="37">
        <v>6712.4107293199995</v>
      </c>
      <c r="J6" s="11">
        <v>1.4218</v>
      </c>
      <c r="K6" s="11">
        <v>55.089100000000002</v>
      </c>
      <c r="L6" s="38">
        <v>1</v>
      </c>
      <c r="M6" s="8">
        <v>95.131699999999995</v>
      </c>
      <c r="N6" s="8">
        <v>10.024390684514563</v>
      </c>
      <c r="O6" s="8">
        <v>1.4178300373953939E-2</v>
      </c>
      <c r="P6" s="8">
        <v>6.9028443240203713E-2</v>
      </c>
      <c r="Q6" s="8">
        <v>0.97061283159409806</v>
      </c>
      <c r="R6" s="41">
        <v>7.8360303822838859E-3</v>
      </c>
      <c r="S6" s="33">
        <v>2.9216410393568825E-2</v>
      </c>
      <c r="T6" s="36">
        <v>82.5</v>
      </c>
      <c r="U6" s="34">
        <v>2.8814983333333336E-2</v>
      </c>
      <c r="V6">
        <v>30.12</v>
      </c>
    </row>
    <row r="7" spans="1:22" x14ac:dyDescent="0.2">
      <c r="A7" s="35" t="s">
        <v>45</v>
      </c>
      <c r="B7" s="36">
        <v>2019</v>
      </c>
      <c r="C7" s="8">
        <v>13.402584023896635</v>
      </c>
      <c r="D7" s="37">
        <v>0.64157861044140163</v>
      </c>
      <c r="E7" s="6">
        <v>2.4552730174080882E-4</v>
      </c>
      <c r="F7" s="11">
        <v>0.99</v>
      </c>
      <c r="G7" s="8">
        <v>62.289873999999998</v>
      </c>
      <c r="H7" s="38">
        <v>-0.96203753856411445</v>
      </c>
      <c r="I7" s="37">
        <v>4621.8617415000008</v>
      </c>
      <c r="J7" s="11">
        <v>1.3845000000000001</v>
      </c>
      <c r="K7" s="11">
        <v>52.729199999999999</v>
      </c>
      <c r="L7" s="38">
        <v>1</v>
      </c>
      <c r="M7" s="8">
        <v>78.085700000000003</v>
      </c>
      <c r="N7" s="8">
        <v>10.03556826968962</v>
      </c>
      <c r="O7" s="8">
        <v>1.4830274470868232E-2</v>
      </c>
      <c r="P7" s="8">
        <v>6.6257845959626915E-2</v>
      </c>
      <c r="Q7" s="8">
        <v>0.97567310189593981</v>
      </c>
      <c r="R7" s="41">
        <v>7.6010625224360324E-3</v>
      </c>
      <c r="S7" s="33">
        <v>3.5027857139206212E-2</v>
      </c>
      <c r="T7" s="36">
        <v>80.3</v>
      </c>
      <c r="U7" s="34">
        <v>2.3433308333333333E-2</v>
      </c>
      <c r="V7">
        <v>30.86</v>
      </c>
    </row>
    <row r="8" spans="1:22" x14ac:dyDescent="0.2">
      <c r="A8" s="35" t="s">
        <v>45</v>
      </c>
      <c r="B8" s="36">
        <v>2020</v>
      </c>
      <c r="C8" s="8">
        <v>12.276636202623974</v>
      </c>
      <c r="D8" s="37">
        <v>-5.0892623990304875</v>
      </c>
      <c r="E8" s="6">
        <v>6.5532160716124097E-2</v>
      </c>
      <c r="F8" s="11">
        <v>0.98329999999999995</v>
      </c>
      <c r="G8" s="8">
        <v>102.659019</v>
      </c>
      <c r="H8" s="38">
        <v>64.808519278751476</v>
      </c>
      <c r="I8" s="37">
        <v>3498.4381315599999</v>
      </c>
      <c r="J8" s="11">
        <v>1.3354999999999999</v>
      </c>
      <c r="K8" s="11">
        <v>56.551499999999997</v>
      </c>
      <c r="L8" s="38">
        <v>1</v>
      </c>
      <c r="M8" s="8">
        <v>58.094000000000001</v>
      </c>
      <c r="N8" s="8">
        <v>10.174475045254079</v>
      </c>
      <c r="O8" s="8">
        <v>1.3652023274492149E-2</v>
      </c>
      <c r="P8" s="8">
        <v>7.0680000460931175E-2</v>
      </c>
      <c r="Q8" s="8">
        <v>0.80860113596875771</v>
      </c>
      <c r="R8" s="41">
        <v>7.2908380834031733E-3</v>
      </c>
      <c r="S8" s="33">
        <v>-4.5924613649292165E-2</v>
      </c>
      <c r="T8" s="36">
        <v>79.2</v>
      </c>
      <c r="U8" s="34">
        <v>0.11969824166666666</v>
      </c>
      <c r="V8">
        <v>29.41</v>
      </c>
    </row>
    <row r="9" spans="1:22" x14ac:dyDescent="0.2">
      <c r="A9" s="35" t="s">
        <v>45</v>
      </c>
      <c r="B9" s="36">
        <v>2021</v>
      </c>
      <c r="C9" s="8">
        <v>13.659010254808438</v>
      </c>
      <c r="D9" s="37">
        <v>-3.3246206281365511</v>
      </c>
      <c r="E9" s="6">
        <v>4.1461132787064245E-2</v>
      </c>
      <c r="F9" s="11">
        <v>0.98919999999999997</v>
      </c>
      <c r="G9" s="8">
        <v>126.080434</v>
      </c>
      <c r="H9" s="38">
        <v>22.814766036289509</v>
      </c>
      <c r="I9" s="37">
        <v>2688.7666841999999</v>
      </c>
      <c r="J9" s="11">
        <v>1.4240999999999999</v>
      </c>
      <c r="K9" s="11">
        <v>51.831299999999999</v>
      </c>
      <c r="L9" s="38">
        <v>1</v>
      </c>
      <c r="M9" s="8">
        <v>62.275199999999998</v>
      </c>
      <c r="N9" s="8">
        <v>10.23712484592903</v>
      </c>
      <c r="O9" s="8">
        <v>1.36858524945398E-2</v>
      </c>
      <c r="P9" s="8">
        <v>7.1586179038129874E-2</v>
      </c>
      <c r="Q9" s="8">
        <v>0.53284765236368314</v>
      </c>
      <c r="R9" s="41">
        <v>7.4075309531551423E-3</v>
      </c>
      <c r="S9" s="33">
        <v>0.16411731154872483</v>
      </c>
      <c r="T9" s="36">
        <v>81</v>
      </c>
      <c r="U9" s="34">
        <v>0.12740310000000002</v>
      </c>
      <c r="V9">
        <v>28.57</v>
      </c>
    </row>
    <row r="10" spans="1:22" x14ac:dyDescent="0.2">
      <c r="A10" s="35" t="s">
        <v>45</v>
      </c>
      <c r="B10" s="36">
        <v>2022</v>
      </c>
      <c r="C10" s="8">
        <v>14.50132438762502</v>
      </c>
      <c r="D10" s="37">
        <v>0.3547656836282167</v>
      </c>
      <c r="E10" s="6">
        <v>9.4420573235380039E-3</v>
      </c>
      <c r="F10" s="11">
        <v>0.99380000000000002</v>
      </c>
      <c r="G10" s="8">
        <v>241.58793700000001</v>
      </c>
      <c r="H10" s="38">
        <v>91.614138161992699</v>
      </c>
      <c r="I10" s="37">
        <v>2545.09605328</v>
      </c>
      <c r="J10" s="11">
        <v>1.6259999999999999</v>
      </c>
      <c r="K10" s="11">
        <v>49.565199999999997</v>
      </c>
      <c r="L10" s="38">
        <v>1</v>
      </c>
      <c r="M10" s="8">
        <v>66.302899999999994</v>
      </c>
      <c r="N10" s="8">
        <v>10.177031954928797</v>
      </c>
      <c r="O10" s="8">
        <v>1.2746307479475234E-2</v>
      </c>
      <c r="P10" s="8">
        <v>9.1502735974412844E-2</v>
      </c>
      <c r="Q10" s="8">
        <v>0.72790417163612098</v>
      </c>
      <c r="R10" s="41">
        <v>7.6436017694338941E-3</v>
      </c>
      <c r="S10" s="33">
        <v>7.355736131395868E-2</v>
      </c>
      <c r="T10" s="36">
        <v>80.8</v>
      </c>
      <c r="U10" s="34">
        <v>0.28625994999999999</v>
      </c>
      <c r="V10">
        <v>30.74</v>
      </c>
    </row>
    <row r="11" spans="1:22" x14ac:dyDescent="0.2">
      <c r="A11" s="35"/>
      <c r="B11" s="36"/>
      <c r="C11" s="8"/>
      <c r="D11" s="37"/>
      <c r="E11" s="6"/>
      <c r="F11" s="11"/>
      <c r="G11" s="8"/>
      <c r="H11" s="38"/>
      <c r="I11" s="37"/>
      <c r="J11" s="11"/>
      <c r="K11" s="11"/>
      <c r="L11" s="38"/>
      <c r="M11" s="8"/>
      <c r="N11" s="8"/>
      <c r="O11" s="8"/>
      <c r="P11" s="8"/>
      <c r="Q11" s="8"/>
      <c r="R11" s="41"/>
      <c r="S11" s="33"/>
      <c r="T11" s="36"/>
      <c r="U11" s="34"/>
      <c r="V11"/>
    </row>
    <row r="12" spans="1:22" x14ac:dyDescent="0.2">
      <c r="A12" s="35" t="s">
        <v>93</v>
      </c>
      <c r="B12" s="36">
        <v>2014</v>
      </c>
      <c r="C12" s="37">
        <v>3.4144128132261122</v>
      </c>
      <c r="D12" s="37">
        <v>4.1883902804034E-2</v>
      </c>
      <c r="E12" s="9">
        <v>1.5925217928254E-2</v>
      </c>
      <c r="F12" s="37">
        <v>0.96160000000000001</v>
      </c>
      <c r="G12" s="37">
        <v>18.82</v>
      </c>
      <c r="H12" s="38">
        <v>151.6042780748663</v>
      </c>
      <c r="I12" s="36">
        <v>27063.736140391266</v>
      </c>
      <c r="J12" s="37">
        <v>1.1356999999999999</v>
      </c>
      <c r="K12" s="37">
        <v>69.620800000000003</v>
      </c>
      <c r="L12" s="38">
        <v>1</v>
      </c>
      <c r="M12" s="37">
        <v>17.951599999999999</v>
      </c>
      <c r="N12" s="37">
        <v>10.292394806174352</v>
      </c>
      <c r="O12" s="37">
        <v>1.2260003126606467E-2</v>
      </c>
      <c r="P12" s="37">
        <v>4.1528630174507482E-2</v>
      </c>
      <c r="Q12" s="37">
        <v>0.13284489509430308</v>
      </c>
      <c r="R12" s="41">
        <v>5.2209437443771298E-3</v>
      </c>
      <c r="S12" s="33">
        <v>-6.0497682581134235E-2</v>
      </c>
      <c r="T12" s="36">
        <v>43</v>
      </c>
      <c r="U12" s="34">
        <v>0.10612881666666664</v>
      </c>
      <c r="V12">
        <v>105.944781034025</v>
      </c>
    </row>
    <row r="13" spans="1:22" x14ac:dyDescent="0.2">
      <c r="A13" s="35" t="s">
        <v>93</v>
      </c>
      <c r="B13" s="36">
        <v>2015</v>
      </c>
      <c r="C13" s="37">
        <v>4.3266372131339361</v>
      </c>
      <c r="D13" s="37">
        <v>0.97477114913826346</v>
      </c>
      <c r="E13" s="9">
        <v>9.7900798118817026E-3</v>
      </c>
      <c r="F13" s="37">
        <v>0.95399999999999996</v>
      </c>
      <c r="G13" s="37">
        <v>419.25</v>
      </c>
      <c r="H13" s="38">
        <v>2127.6833156216794</v>
      </c>
      <c r="I13" s="36">
        <v>34294.320668512642</v>
      </c>
      <c r="J13" s="37">
        <v>1.1246</v>
      </c>
      <c r="K13" s="37">
        <v>68.763000000000005</v>
      </c>
      <c r="L13" s="38">
        <v>1</v>
      </c>
      <c r="M13" s="37">
        <v>22.8584</v>
      </c>
      <c r="N13" s="37">
        <v>10.177710234906559</v>
      </c>
      <c r="O13" s="37">
        <v>1.0031445473373962E-2</v>
      </c>
      <c r="P13" s="37">
        <v>1.8681000356888824E-2</v>
      </c>
      <c r="Q13" s="37">
        <v>0.12551025630402624</v>
      </c>
      <c r="R13" s="41">
        <v>5.3104165864967046E-3</v>
      </c>
      <c r="S13" s="33">
        <v>-9.2314533358446485E-2</v>
      </c>
      <c r="T13" s="36">
        <v>44.8</v>
      </c>
      <c r="U13" s="34">
        <v>0.16251885833333332</v>
      </c>
      <c r="V13">
        <v>121.044025684011</v>
      </c>
    </row>
    <row r="14" spans="1:22" x14ac:dyDescent="0.2">
      <c r="A14" s="35" t="s">
        <v>93</v>
      </c>
      <c r="B14" s="36">
        <v>2016</v>
      </c>
      <c r="C14" s="37">
        <v>4.3807623857332585</v>
      </c>
      <c r="D14" s="37">
        <v>3.4950768907700747</v>
      </c>
      <c r="E14" s="9">
        <v>-7.2825344829290459E-3</v>
      </c>
      <c r="F14" s="37">
        <v>0.94969999999999999</v>
      </c>
      <c r="G14" s="37">
        <v>1641.12</v>
      </c>
      <c r="H14" s="38">
        <v>291.44186046511624</v>
      </c>
      <c r="I14" s="37">
        <v>34723.334226599996</v>
      </c>
      <c r="J14" s="37">
        <v>1.1187</v>
      </c>
      <c r="K14" s="37">
        <v>67.198499999999996</v>
      </c>
      <c r="L14" s="38">
        <v>1</v>
      </c>
      <c r="M14" s="37">
        <v>44.1873</v>
      </c>
      <c r="N14" s="37">
        <v>10.267858097730647</v>
      </c>
      <c r="O14" s="37">
        <v>1.026111155848854E-2</v>
      </c>
      <c r="P14" s="37">
        <v>3.3693210230478401E-2</v>
      </c>
      <c r="Q14" s="37">
        <v>0.13000692135158906</v>
      </c>
      <c r="R14" s="41">
        <v>5.3335187817642902E-3</v>
      </c>
      <c r="S14" s="33">
        <v>0.12570431786897612</v>
      </c>
      <c r="T14" s="36">
        <v>44.6</v>
      </c>
      <c r="U14" s="34">
        <v>0.17348815833333334</v>
      </c>
      <c r="V14">
        <v>108.79290004683401</v>
      </c>
    </row>
    <row r="15" spans="1:22" x14ac:dyDescent="0.2">
      <c r="A15" s="35" t="s">
        <v>93</v>
      </c>
      <c r="B15" s="36">
        <v>2017</v>
      </c>
      <c r="C15" s="37">
        <v>4.5088852941581568</v>
      </c>
      <c r="D15" s="37">
        <v>0.2876864549770663</v>
      </c>
      <c r="E15" s="9">
        <v>1.3264456278012635E-2</v>
      </c>
      <c r="F15" s="37">
        <v>0.96009999999999995</v>
      </c>
      <c r="G15" s="37">
        <v>1729.24</v>
      </c>
      <c r="H15" s="38">
        <v>5.369503753534179</v>
      </c>
      <c r="I15" s="37">
        <v>32992.804387079996</v>
      </c>
      <c r="J15" s="37">
        <v>1.0327</v>
      </c>
      <c r="K15" s="37">
        <v>77.311400000000006</v>
      </c>
      <c r="L15" s="38">
        <v>1</v>
      </c>
      <c r="M15" s="37">
        <v>72.822900000000004</v>
      </c>
      <c r="N15" s="37">
        <v>10.29268229994268</v>
      </c>
      <c r="O15" s="37">
        <v>9.8258222956999399E-3</v>
      </c>
      <c r="P15" s="37">
        <v>7.8767878883847814E-2</v>
      </c>
      <c r="Q15" s="37">
        <v>0.20811721431226604</v>
      </c>
      <c r="R15" s="41">
        <v>5.3917664465097962E-3</v>
      </c>
      <c r="S15" s="33">
        <v>-1.4557344380430779E-2</v>
      </c>
      <c r="T15" s="36">
        <v>44</v>
      </c>
      <c r="U15" s="34">
        <v>6.9751091666666667E-2</v>
      </c>
      <c r="V15">
        <v>112.166141081871</v>
      </c>
    </row>
    <row r="16" spans="1:22" x14ac:dyDescent="0.2">
      <c r="A16" s="35" t="s">
        <v>93</v>
      </c>
      <c r="B16" s="36">
        <v>2018</v>
      </c>
      <c r="C16" s="37">
        <v>3.541998724222263</v>
      </c>
      <c r="D16" s="37">
        <v>-9.7906246706030264E-2</v>
      </c>
      <c r="E16" s="9">
        <v>2.071972084094233E-2</v>
      </c>
      <c r="F16" s="37">
        <v>0.95709999999999995</v>
      </c>
      <c r="G16" s="37">
        <v>239.21</v>
      </c>
      <c r="H16" s="38">
        <v>-86.166755337604968</v>
      </c>
      <c r="I16" s="37">
        <v>28663.406498479995</v>
      </c>
      <c r="J16" s="37">
        <v>1.0276000000000001</v>
      </c>
      <c r="K16" s="37">
        <v>84.163899999999998</v>
      </c>
      <c r="L16" s="38">
        <v>1</v>
      </c>
      <c r="M16" s="37">
        <v>52.145099999999999</v>
      </c>
      <c r="N16" s="37">
        <v>10.345888974877408</v>
      </c>
      <c r="O16" s="37">
        <v>7.4328173577728422E-3</v>
      </c>
      <c r="P16" s="37">
        <v>9.4160367161632508E-2</v>
      </c>
      <c r="Q16" s="37">
        <v>0.22451114661797156</v>
      </c>
      <c r="R16" s="41">
        <v>5.5169657695986292E-3</v>
      </c>
      <c r="S16" s="33">
        <v>2.2317420335519114E-2</v>
      </c>
      <c r="T16" s="36">
        <v>45.2</v>
      </c>
      <c r="U16" s="34">
        <v>9.823383333333334E-2</v>
      </c>
      <c r="V16">
        <v>110.42317934106001</v>
      </c>
    </row>
    <row r="17" spans="1:22" x14ac:dyDescent="0.2">
      <c r="A17" s="35" t="s">
        <v>93</v>
      </c>
      <c r="B17" s="36">
        <v>2019</v>
      </c>
      <c r="C17" s="37">
        <v>2.6331139331410589</v>
      </c>
      <c r="D17" s="37">
        <v>1.722487470646604</v>
      </c>
      <c r="E17" s="9">
        <v>2.1602351437280797E-3</v>
      </c>
      <c r="F17" s="37">
        <v>0.94989999999999997</v>
      </c>
      <c r="G17" s="37">
        <v>215.26</v>
      </c>
      <c r="H17" s="38">
        <v>-10.012123238995033</v>
      </c>
      <c r="I17" s="37">
        <v>22973.89843419</v>
      </c>
      <c r="J17" s="37">
        <v>1.0346</v>
      </c>
      <c r="K17" s="37">
        <v>81.276799999999994</v>
      </c>
      <c r="L17" s="38">
        <v>1</v>
      </c>
      <c r="M17" s="37">
        <v>106.2764</v>
      </c>
      <c r="N17" s="37">
        <v>10.355319029476119</v>
      </c>
      <c r="O17" s="37">
        <v>6.2366073698337998E-3</v>
      </c>
      <c r="P17" s="37">
        <v>0.14822868220449956</v>
      </c>
      <c r="Q17" s="37">
        <v>0.10629982107509495</v>
      </c>
      <c r="R17" s="41">
        <v>5.7229614906583936E-3</v>
      </c>
      <c r="S17" s="33">
        <v>1.5297507443604967E-2</v>
      </c>
      <c r="T17" s="36">
        <v>45.2</v>
      </c>
      <c r="U17" s="34">
        <v>0.16861495833333337</v>
      </c>
      <c r="V17">
        <v>109.009665900863</v>
      </c>
    </row>
    <row r="18" spans="1:22" x14ac:dyDescent="0.2">
      <c r="A18" s="35" t="s">
        <v>93</v>
      </c>
      <c r="B18" s="36">
        <v>2020</v>
      </c>
      <c r="C18" s="37">
        <v>2.5531176649546561</v>
      </c>
      <c r="D18" s="37">
        <v>0.61767936789087396</v>
      </c>
      <c r="E18" s="9">
        <v>2.0595738219808372E-2</v>
      </c>
      <c r="F18" s="37">
        <v>0.95050000000000001</v>
      </c>
      <c r="G18" s="37">
        <v>297.43</v>
      </c>
      <c r="H18" s="38">
        <v>38.172442627520212</v>
      </c>
      <c r="I18" s="37">
        <v>24887.433910440002</v>
      </c>
      <c r="J18" s="37">
        <v>0.99739999999999995</v>
      </c>
      <c r="K18" s="37">
        <v>80.535499999999999</v>
      </c>
      <c r="L18" s="38">
        <v>1</v>
      </c>
      <c r="M18" s="37">
        <v>121.9392</v>
      </c>
      <c r="N18" s="37">
        <v>10.391436681271454</v>
      </c>
      <c r="O18" s="37">
        <v>6.3299326082471808E-3</v>
      </c>
      <c r="P18" s="37">
        <v>0.10072917276330313</v>
      </c>
      <c r="Q18" s="37">
        <v>0.11929841562091185</v>
      </c>
      <c r="R18" s="41">
        <v>5.9483933010938744E-3</v>
      </c>
      <c r="S18" s="33">
        <v>-1.3521754698139338E-2</v>
      </c>
      <c r="T18" s="36">
        <v>45.4</v>
      </c>
      <c r="U18" s="34">
        <v>0.19133301666666666</v>
      </c>
      <c r="V18">
        <v>106.77458226243699</v>
      </c>
    </row>
    <row r="19" spans="1:22" x14ac:dyDescent="0.2">
      <c r="A19" s="35" t="s">
        <v>93</v>
      </c>
      <c r="B19" s="36">
        <v>2021</v>
      </c>
      <c r="C19" s="37">
        <v>2.0151712449018637</v>
      </c>
      <c r="D19" s="37">
        <v>-4.3628433291408397</v>
      </c>
      <c r="E19" s="9">
        <v>5.949869268852389E-2</v>
      </c>
      <c r="F19" s="37">
        <v>0.95479999999999998</v>
      </c>
      <c r="G19" s="37">
        <v>866.71</v>
      </c>
      <c r="H19" s="38">
        <v>191.39965706216589</v>
      </c>
      <c r="I19" s="37">
        <v>24510.078222569999</v>
      </c>
      <c r="J19" s="37">
        <v>0.87590000000000001</v>
      </c>
      <c r="K19" s="37">
        <v>79.732600000000005</v>
      </c>
      <c r="L19" s="38">
        <v>1</v>
      </c>
      <c r="M19" s="37">
        <v>213.6575</v>
      </c>
      <c r="N19" s="37">
        <v>10.541167320765656</v>
      </c>
      <c r="O19" s="37">
        <v>5.7996869117981466E-3</v>
      </c>
      <c r="P19" s="37">
        <v>0.1767414653132745</v>
      </c>
      <c r="Q19" s="37">
        <v>6.1437608407305375E-2</v>
      </c>
      <c r="R19" s="41">
        <v>5.7882507431567722E-3</v>
      </c>
      <c r="S19" s="33">
        <v>-8.566975901496245E-3</v>
      </c>
      <c r="T19" s="36">
        <v>45.6</v>
      </c>
      <c r="U19" s="34">
        <v>8.6284741666666664E-2</v>
      </c>
      <c r="V19">
        <v>109.754323839417</v>
      </c>
    </row>
    <row r="20" spans="1:22" x14ac:dyDescent="0.2">
      <c r="A20" s="35" t="s">
        <v>93</v>
      </c>
      <c r="B20" s="36">
        <v>2022</v>
      </c>
      <c r="C20" s="37">
        <v>1.6311861318834699</v>
      </c>
      <c r="D20" s="37">
        <v>-0.71973519475918524</v>
      </c>
      <c r="E20" s="9">
        <v>2.5823745352461177E-2</v>
      </c>
      <c r="F20" s="37">
        <v>0.96020000000000005</v>
      </c>
      <c r="G20" s="37">
        <v>890.95</v>
      </c>
      <c r="H20" s="38">
        <v>2.7967832377611899</v>
      </c>
      <c r="I20" s="36">
        <v>19839.752968478981</v>
      </c>
      <c r="J20" s="37">
        <v>0.80369999999999997</v>
      </c>
      <c r="K20" s="37">
        <v>79.127099999999999</v>
      </c>
      <c r="L20" s="38">
        <v>1</v>
      </c>
      <c r="M20" s="37">
        <v>331.46710000000002</v>
      </c>
      <c r="N20" s="37">
        <v>10.512441555794055</v>
      </c>
      <c r="O20" s="37">
        <v>5.6968814740415213E-3</v>
      </c>
      <c r="P20" s="37">
        <v>0.19893040186535674</v>
      </c>
      <c r="Q20" s="37">
        <v>5.5539362059089686E-2</v>
      </c>
      <c r="R20" s="41">
        <v>5.8551556344087746E-3</v>
      </c>
      <c r="S20" s="33">
        <v>-0.15470779172132842</v>
      </c>
      <c r="T20" s="36">
        <v>46.3</v>
      </c>
      <c r="U20" s="34">
        <v>0.19251043333333331</v>
      </c>
      <c r="V20">
        <v>131.49814044376399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BD20-1148-854B-BC69-5031D9A9C61F}">
  <dimension ref="A1:V100"/>
  <sheetViews>
    <sheetView workbookViewId="0">
      <selection sqref="A1:XFD1"/>
    </sheetView>
  </sheetViews>
  <sheetFormatPr baseColWidth="10" defaultColWidth="11" defaultRowHeight="16" x14ac:dyDescent="0.2"/>
  <cols>
    <col min="1" max="1" width="29.1640625" style="1" bestFit="1" customWidth="1"/>
    <col min="2" max="4" width="10.83203125" style="1"/>
    <col min="5" max="8" width="14.33203125" style="1" customWidth="1"/>
    <col min="9" max="9" width="14" style="1" customWidth="1"/>
    <col min="10" max="10" width="10.5" style="1" customWidth="1"/>
    <col min="11" max="17" width="10.83203125" style="1"/>
    <col min="18" max="18" width="15.5" style="1" customWidth="1"/>
    <col min="19" max="22" width="10.83203125" style="1"/>
  </cols>
  <sheetData>
    <row r="1" spans="1:22" s="17" customFormat="1" ht="81" customHeight="1" x14ac:dyDescent="0.2">
      <c r="A1" s="17" t="s">
        <v>0</v>
      </c>
      <c r="B1" s="17" t="s">
        <v>1</v>
      </c>
      <c r="C1" s="45" t="s">
        <v>102</v>
      </c>
      <c r="D1" s="45" t="s">
        <v>103</v>
      </c>
      <c r="E1" s="46" t="s">
        <v>104</v>
      </c>
      <c r="F1" s="45" t="s">
        <v>105</v>
      </c>
      <c r="G1" s="45" t="s">
        <v>10</v>
      </c>
      <c r="H1" s="18" t="s">
        <v>87</v>
      </c>
      <c r="I1" s="18" t="s">
        <v>2</v>
      </c>
      <c r="J1" s="18" t="s">
        <v>3</v>
      </c>
      <c r="K1" s="45" t="s">
        <v>4</v>
      </c>
      <c r="L1" s="18" t="s">
        <v>5</v>
      </c>
      <c r="M1" s="18" t="s">
        <v>6</v>
      </c>
      <c r="N1" s="45" t="s">
        <v>106</v>
      </c>
      <c r="O1" s="45" t="s">
        <v>107</v>
      </c>
      <c r="P1" s="45" t="s">
        <v>108</v>
      </c>
      <c r="Q1" s="45" t="s">
        <v>109</v>
      </c>
      <c r="R1" s="19" t="s">
        <v>7</v>
      </c>
      <c r="S1" s="17" t="s">
        <v>8</v>
      </c>
      <c r="T1" s="17" t="s">
        <v>101</v>
      </c>
      <c r="U1" s="17" t="s">
        <v>9</v>
      </c>
      <c r="V1" s="17" t="s">
        <v>100</v>
      </c>
    </row>
    <row r="2" spans="1:22" x14ac:dyDescent="0.2">
      <c r="A2" s="35" t="s">
        <v>85</v>
      </c>
      <c r="B2" s="36">
        <v>2014</v>
      </c>
      <c r="C2" s="37">
        <v>6.3906119725431063</v>
      </c>
      <c r="D2" s="37">
        <v>-25.442539629629405</v>
      </c>
      <c r="E2" s="40">
        <v>0.27483939164229204</v>
      </c>
      <c r="F2" s="37">
        <v>0.99119999999999997</v>
      </c>
      <c r="G2" s="37">
        <v>0</v>
      </c>
      <c r="H2" s="38">
        <v>-100</v>
      </c>
      <c r="I2" s="37">
        <v>30399.080618910004</v>
      </c>
      <c r="J2" s="37">
        <v>3.3679000000000001</v>
      </c>
      <c r="K2" s="37">
        <v>43.423200000000001</v>
      </c>
      <c r="L2" s="38">
        <v>1</v>
      </c>
      <c r="M2" s="37">
        <v>359.5899</v>
      </c>
      <c r="N2" s="37">
        <v>11.509939069125906</v>
      </c>
      <c r="O2" s="37">
        <v>3.5829083696608623E-2</v>
      </c>
      <c r="P2" s="38">
        <v>8.9109569478720937E-2</v>
      </c>
      <c r="Q2" s="37">
        <v>1.6196409829220908</v>
      </c>
      <c r="R2" s="41">
        <v>5.9113033179932113E-3</v>
      </c>
      <c r="S2" s="33">
        <v>9.457781607341903E-2</v>
      </c>
      <c r="T2" s="36">
        <v>99.9</v>
      </c>
      <c r="U2" s="34">
        <v>0.12046267500000001</v>
      </c>
      <c r="V2">
        <v>6.1434340944886703</v>
      </c>
    </row>
    <row r="3" spans="1:22" x14ac:dyDescent="0.2">
      <c r="A3" s="35" t="s">
        <v>85</v>
      </c>
      <c r="B3" s="36">
        <v>2015</v>
      </c>
      <c r="C3" s="37">
        <v>5.7046035081149338</v>
      </c>
      <c r="D3" s="37">
        <v>3.7174312162503775</v>
      </c>
      <c r="E3" s="40">
        <v>-1.0839408051795845E-2</v>
      </c>
      <c r="F3" s="37">
        <v>0.98570000000000002</v>
      </c>
      <c r="G3" s="37">
        <v>1109.739</v>
      </c>
      <c r="H3" s="42">
        <v>1109.739</v>
      </c>
      <c r="I3" s="37">
        <v>40527.807780880001</v>
      </c>
      <c r="J3" s="37">
        <v>3.2006999999999999</v>
      </c>
      <c r="K3" s="37">
        <v>41.938000000000002</v>
      </c>
      <c r="L3" s="38">
        <v>1</v>
      </c>
      <c r="M3" s="37">
        <v>383.78769999999997</v>
      </c>
      <c r="N3" s="37">
        <v>11.612682167957947</v>
      </c>
      <c r="O3" s="37">
        <v>4.1122041611625151E-2</v>
      </c>
      <c r="P3" s="38">
        <v>0.11621847992838027</v>
      </c>
      <c r="Q3" s="37">
        <v>1.5679713117037264</v>
      </c>
      <c r="R3" s="41">
        <v>5.7118121588719791E-3</v>
      </c>
      <c r="S3" s="33">
        <v>5.5934460075526035E-2</v>
      </c>
      <c r="T3" s="36">
        <v>40.6</v>
      </c>
      <c r="U3" s="34">
        <v>0.11306368333333332</v>
      </c>
      <c r="V3">
        <v>6.22748867298455</v>
      </c>
    </row>
    <row r="4" spans="1:22" x14ac:dyDescent="0.2">
      <c r="A4" s="35" t="s">
        <v>85</v>
      </c>
      <c r="B4" s="36">
        <v>2016</v>
      </c>
      <c r="C4" s="37">
        <v>5.5253954672639889</v>
      </c>
      <c r="D4" s="37">
        <v>-6.8500520171877292E-3</v>
      </c>
      <c r="E4" s="40">
        <v>1.7648516536456871E-2</v>
      </c>
      <c r="F4" s="37">
        <v>0.98170000000000002</v>
      </c>
      <c r="G4" s="37">
        <v>4367.8459999999995</v>
      </c>
      <c r="H4" s="38">
        <v>293.59218699171601</v>
      </c>
      <c r="I4" s="37">
        <v>41397.974071789999</v>
      </c>
      <c r="J4" s="37">
        <v>2.7353000000000001</v>
      </c>
      <c r="K4" s="37">
        <v>39.364100000000001</v>
      </c>
      <c r="L4" s="38">
        <v>1</v>
      </c>
      <c r="M4" s="37">
        <v>401.26530000000002</v>
      </c>
      <c r="N4" s="37">
        <v>11.659047855869183</v>
      </c>
      <c r="O4" s="37">
        <v>4.0959208782806532E-2</v>
      </c>
      <c r="P4" s="38">
        <v>8.6609671422122558E-2</v>
      </c>
      <c r="Q4" s="37">
        <v>1.2645979530791118</v>
      </c>
      <c r="R4" s="41">
        <v>5.7975584554181428E-3</v>
      </c>
      <c r="S4" s="33">
        <v>1.5525894567969992E-2</v>
      </c>
      <c r="T4" s="36">
        <v>40.6</v>
      </c>
      <c r="U4" s="34">
        <v>0.10788815833333336</v>
      </c>
      <c r="V4">
        <v>6.6444778294468003</v>
      </c>
    </row>
    <row r="5" spans="1:22" x14ac:dyDescent="0.2">
      <c r="A5" s="35" t="s">
        <v>85</v>
      </c>
      <c r="B5" s="36">
        <v>2017</v>
      </c>
      <c r="C5" s="37">
        <v>5.5500306247011526</v>
      </c>
      <c r="D5" s="37">
        <v>0.68568305894534076</v>
      </c>
      <c r="E5" s="40">
        <v>8.544766897545561E-3</v>
      </c>
      <c r="F5" s="37">
        <v>0.98040000000000005</v>
      </c>
      <c r="G5" s="37">
        <v>6444.9390000000003</v>
      </c>
      <c r="H5" s="38">
        <v>47.554172010643256</v>
      </c>
      <c r="I5" s="37">
        <v>50740.945522200003</v>
      </c>
      <c r="J5" s="37">
        <v>2.6229</v>
      </c>
      <c r="K5" s="37">
        <v>35.334800000000001</v>
      </c>
      <c r="L5" s="38">
        <v>1</v>
      </c>
      <c r="M5" s="37">
        <v>385.08679999999998</v>
      </c>
      <c r="N5" s="37">
        <v>11.843717195164237</v>
      </c>
      <c r="O5" s="37">
        <v>4.2077995257139691E-2</v>
      </c>
      <c r="P5" s="38">
        <v>5.3637828904609601E-2</v>
      </c>
      <c r="Q5" s="37">
        <v>1.4872982343101671</v>
      </c>
      <c r="R5" s="41">
        <v>5.9132420074357959E-3</v>
      </c>
      <c r="S5" s="33">
        <v>9.5891306540979396E-2</v>
      </c>
      <c r="T5" s="36">
        <v>39.299999999999997</v>
      </c>
      <c r="U5" s="34">
        <v>0.10495592499999999</v>
      </c>
      <c r="V5">
        <v>6.7587550863359702</v>
      </c>
    </row>
    <row r="6" spans="1:22" x14ac:dyDescent="0.2">
      <c r="A6" s="35" t="s">
        <v>85</v>
      </c>
      <c r="B6" s="36">
        <v>2018</v>
      </c>
      <c r="C6" s="37">
        <v>5.2221626430214103</v>
      </c>
      <c r="D6" s="37">
        <v>0.9240135546937428</v>
      </c>
      <c r="E6" s="40">
        <v>1.1809680392701789E-2</v>
      </c>
      <c r="F6" s="37">
        <v>0.96440000000000003</v>
      </c>
      <c r="G6" s="37">
        <v>12285.19</v>
      </c>
      <c r="H6" s="38">
        <v>90.6176303608149</v>
      </c>
      <c r="I6" s="37">
        <v>71615.943560139989</v>
      </c>
      <c r="J6" s="37">
        <v>2.4392</v>
      </c>
      <c r="K6" s="37">
        <v>31.5962</v>
      </c>
      <c r="L6" s="38">
        <v>1</v>
      </c>
      <c r="M6" s="37">
        <v>344.23149999999998</v>
      </c>
      <c r="N6" s="37">
        <v>11.836467014435323</v>
      </c>
      <c r="O6" s="37">
        <v>4.489085473305339E-2</v>
      </c>
      <c r="P6" s="38">
        <v>3.642881137817118E-2</v>
      </c>
      <c r="Q6" s="37">
        <v>1.6730942699560833</v>
      </c>
      <c r="R6" s="41">
        <v>6.185601233175954E-3</v>
      </c>
      <c r="S6" s="33">
        <v>0.12870455661971003</v>
      </c>
      <c r="T6" s="36">
        <v>37.9</v>
      </c>
      <c r="U6" s="34">
        <v>0.14311219999999999</v>
      </c>
      <c r="V6">
        <v>6.6159571773543897</v>
      </c>
    </row>
    <row r="7" spans="1:22" x14ac:dyDescent="0.2">
      <c r="A7" s="35" t="s">
        <v>85</v>
      </c>
      <c r="B7" s="36">
        <v>2019</v>
      </c>
      <c r="C7" s="37">
        <v>5.3243436873691383</v>
      </c>
      <c r="D7" s="37">
        <v>0.83159186076596137</v>
      </c>
      <c r="E7" s="40">
        <v>6.491071705113198E-3</v>
      </c>
      <c r="F7" s="37">
        <v>0.98099999999999998</v>
      </c>
      <c r="G7" s="37">
        <v>16756.363000000001</v>
      </c>
      <c r="H7" s="38">
        <v>36.394821732508817</v>
      </c>
      <c r="I7" s="37">
        <v>78409.213083080002</v>
      </c>
      <c r="J7" s="37">
        <v>2.3336000000000001</v>
      </c>
      <c r="K7" s="37">
        <v>32.647799999999997</v>
      </c>
      <c r="L7" s="38">
        <v>1</v>
      </c>
      <c r="M7" s="37">
        <v>283.52800000000002</v>
      </c>
      <c r="N7" s="37">
        <v>11.904197698376299</v>
      </c>
      <c r="O7" s="37">
        <v>4.7460133590796538E-2</v>
      </c>
      <c r="P7" s="38">
        <v>1.9948978412531317E-2</v>
      </c>
      <c r="Q7" s="37">
        <v>1.780951958421688</v>
      </c>
      <c r="R7" s="41">
        <v>6.490703812366487E-3</v>
      </c>
      <c r="S7" s="33">
        <v>2.7712383170145276E-2</v>
      </c>
      <c r="T7" s="36">
        <v>37.700000000000003</v>
      </c>
      <c r="U7" s="34">
        <v>0.29669430000000002</v>
      </c>
      <c r="V7">
        <v>6.9083850099290096</v>
      </c>
    </row>
    <row r="8" spans="1:22" x14ac:dyDescent="0.2">
      <c r="A8" s="35" t="s">
        <v>85</v>
      </c>
      <c r="B8" s="36">
        <v>2020</v>
      </c>
      <c r="C8" s="37">
        <v>4.265465726687343</v>
      </c>
      <c r="D8" s="37">
        <v>1.2351438320389496</v>
      </c>
      <c r="E8" s="40">
        <v>6.1330496072583762E-3</v>
      </c>
      <c r="F8" s="37">
        <v>0.95879999999999999</v>
      </c>
      <c r="G8" s="37">
        <v>11311.941000000001</v>
      </c>
      <c r="H8" s="38">
        <v>-32.491668985686211</v>
      </c>
      <c r="I8" s="37">
        <v>101807.35525349999</v>
      </c>
      <c r="J8" s="37">
        <v>2.2477999999999998</v>
      </c>
      <c r="K8" s="37">
        <v>28.623699999999999</v>
      </c>
      <c r="L8" s="38">
        <v>1</v>
      </c>
      <c r="M8" s="37">
        <v>321.40629999999999</v>
      </c>
      <c r="N8" s="37">
        <v>12.066981064237808</v>
      </c>
      <c r="O8" s="37">
        <v>4.1195213871919913E-2</v>
      </c>
      <c r="P8" s="38">
        <v>1.6955214070721546E-2</v>
      </c>
      <c r="Q8" s="37">
        <v>2.146685135360439</v>
      </c>
      <c r="R8" s="41">
        <v>7.0053284042244646E-3</v>
      </c>
      <c r="S8" s="33">
        <v>2.8555740275520065E-2</v>
      </c>
      <c r="T8" s="36">
        <v>37.9</v>
      </c>
      <c r="U8" s="34">
        <v>0.27519169999999998</v>
      </c>
      <c r="V8">
        <v>6.9007672694492497</v>
      </c>
    </row>
    <row r="9" spans="1:22" x14ac:dyDescent="0.2">
      <c r="A9" s="35" t="s">
        <v>85</v>
      </c>
      <c r="B9" s="36">
        <v>2021</v>
      </c>
      <c r="C9" s="37">
        <v>4.3691500169779625</v>
      </c>
      <c r="D9" s="37">
        <v>-0.61770141548811675</v>
      </c>
      <c r="E9" s="40">
        <v>2.0782576655209915E-2</v>
      </c>
      <c r="F9" s="37">
        <v>0.94850000000000001</v>
      </c>
      <c r="G9" s="37">
        <v>12043.384</v>
      </c>
      <c r="H9" s="38">
        <v>6.4661139940528276</v>
      </c>
      <c r="I9" s="37">
        <v>114852.95641870001</v>
      </c>
      <c r="J9" s="37">
        <v>2.1671999999999998</v>
      </c>
      <c r="K9" s="37">
        <v>28.043900000000001</v>
      </c>
      <c r="L9" s="38">
        <v>1</v>
      </c>
      <c r="M9" s="37">
        <v>364.76589999999999</v>
      </c>
      <c r="N9" s="37">
        <v>12.202187888623609</v>
      </c>
      <c r="O9" s="37">
        <v>4.2653608196099022E-2</v>
      </c>
      <c r="P9" s="38">
        <v>2.8242698940144386E-2</v>
      </c>
      <c r="Q9" s="37">
        <v>2.2777091295197454</v>
      </c>
      <c r="R9" s="41">
        <v>7.6665350539357816E-3</v>
      </c>
      <c r="S9" s="33">
        <v>0.21328775065622899</v>
      </c>
      <c r="T9" s="36">
        <v>38.5</v>
      </c>
      <c r="U9" s="34">
        <v>0.17849286666666667</v>
      </c>
      <c r="V9">
        <v>6.4489751802431599</v>
      </c>
    </row>
    <row r="10" spans="1:22" x14ac:dyDescent="0.2">
      <c r="A10" s="35" t="s">
        <v>85</v>
      </c>
      <c r="B10" s="36">
        <v>2022</v>
      </c>
      <c r="C10" s="37">
        <v>4.3204249680836364</v>
      </c>
      <c r="D10" s="37">
        <v>-9.6371250515366071</v>
      </c>
      <c r="E10" s="40">
        <v>0.10991012281154269</v>
      </c>
      <c r="F10" s="37">
        <v>0.94340000000000002</v>
      </c>
      <c r="G10" s="37">
        <v>6648.3280000000004</v>
      </c>
      <c r="H10" s="38">
        <v>-44.796844474941587</v>
      </c>
      <c r="I10" s="37">
        <v>111852.1280466</v>
      </c>
      <c r="J10" s="37">
        <v>1.9681999999999999</v>
      </c>
      <c r="K10" s="37">
        <v>31.992699999999999</v>
      </c>
      <c r="L10" s="38">
        <v>1</v>
      </c>
      <c r="M10" s="37">
        <v>340.90190000000001</v>
      </c>
      <c r="N10" s="37">
        <v>12.185999832837206</v>
      </c>
      <c r="O10" s="37">
        <v>4.3610929553343683E-2</v>
      </c>
      <c r="P10" s="38">
        <v>2.330246096028267E-2</v>
      </c>
      <c r="Q10" s="37">
        <v>2.2358381162698313</v>
      </c>
      <c r="R10" s="41">
        <v>7.6693055225205437E-3</v>
      </c>
      <c r="S10" s="33">
        <v>8.0082772214906672E-3</v>
      </c>
      <c r="T10" s="36">
        <v>38.299999999999997</v>
      </c>
      <c r="U10" s="34">
        <v>0.37974000833333332</v>
      </c>
      <c r="V10">
        <v>6.7371581123711897</v>
      </c>
    </row>
    <row r="11" spans="1:22" x14ac:dyDescent="0.2">
      <c r="A11" s="35"/>
      <c r="B11" s="36"/>
      <c r="C11" s="37"/>
      <c r="D11" s="37"/>
      <c r="E11" s="40"/>
      <c r="F11" s="37"/>
      <c r="G11" s="37"/>
      <c r="H11" s="38"/>
      <c r="I11" s="37"/>
      <c r="J11" s="37"/>
      <c r="K11" s="37"/>
      <c r="L11" s="38"/>
      <c r="M11" s="37"/>
      <c r="N11" s="37"/>
      <c r="O11" s="37"/>
      <c r="P11" s="38"/>
      <c r="Q11" s="37"/>
      <c r="R11" s="41"/>
      <c r="S11" s="33"/>
      <c r="T11" s="36"/>
      <c r="U11" s="34"/>
      <c r="V11"/>
    </row>
    <row r="12" spans="1:22" x14ac:dyDescent="0.2">
      <c r="A12" s="35" t="s">
        <v>97</v>
      </c>
      <c r="B12" s="36">
        <v>2014</v>
      </c>
      <c r="C12" s="24">
        <v>22.016006517622625</v>
      </c>
      <c r="D12" s="37">
        <v>0.64216398570123856</v>
      </c>
      <c r="E12" s="27">
        <v>2.4792963262385823E-3</v>
      </c>
      <c r="F12" s="26">
        <v>1.0205</v>
      </c>
      <c r="G12" s="37">
        <v>0.86415299999999995</v>
      </c>
      <c r="H12" s="38">
        <v>-67.762666299999992</v>
      </c>
      <c r="I12" s="37">
        <v>3014.30849094</v>
      </c>
      <c r="J12" s="26">
        <v>1.5058</v>
      </c>
      <c r="K12" s="26">
        <v>37.133299999999998</v>
      </c>
      <c r="L12" s="28">
        <v>1</v>
      </c>
      <c r="M12" s="26">
        <v>61.25</v>
      </c>
      <c r="N12" s="24">
        <v>10.794977641134807</v>
      </c>
      <c r="O12" s="24">
        <v>1.1573524718468854E-2</v>
      </c>
      <c r="P12" s="24">
        <v>4.1886878956316223E-2</v>
      </c>
      <c r="Q12" s="24">
        <v>0.64261934364443407</v>
      </c>
      <c r="R12" s="41">
        <v>6.8626247226070119E-3</v>
      </c>
      <c r="S12" s="33">
        <v>9.5263087248195086E-2</v>
      </c>
      <c r="T12" s="36">
        <v>86.7</v>
      </c>
      <c r="U12" s="34">
        <v>0.30936659166666663</v>
      </c>
      <c r="V12">
        <v>29.85</v>
      </c>
    </row>
    <row r="13" spans="1:22" x14ac:dyDescent="0.2">
      <c r="A13" s="35" t="s">
        <v>97</v>
      </c>
      <c r="B13" s="36">
        <v>2015</v>
      </c>
      <c r="C13" s="24">
        <v>22.564862370790838</v>
      </c>
      <c r="D13" s="37">
        <v>0.16501865395889154</v>
      </c>
      <c r="E13" s="27">
        <v>5.9482496572915398E-3</v>
      </c>
      <c r="F13" s="26">
        <v>1.0051000000000001</v>
      </c>
      <c r="G13" s="37">
        <v>3.9864039999999998</v>
      </c>
      <c r="H13" s="38">
        <v>361.30766199999999</v>
      </c>
      <c r="I13" s="37">
        <v>4704.3992065000002</v>
      </c>
      <c r="J13" s="26">
        <v>1.4625999999999999</v>
      </c>
      <c r="K13" s="26">
        <v>38.409799999999997</v>
      </c>
      <c r="L13" s="28">
        <v>1</v>
      </c>
      <c r="M13" s="26">
        <v>55.4024</v>
      </c>
      <c r="N13" s="24">
        <v>10.806978819626966</v>
      </c>
      <c r="O13" s="24">
        <v>1.189457519870836E-2</v>
      </c>
      <c r="P13" s="24">
        <v>5.9378468646398022E-2</v>
      </c>
      <c r="Q13" s="24">
        <v>0.61575742557092716</v>
      </c>
      <c r="R13" s="41">
        <v>6.440099997370015E-3</v>
      </c>
      <c r="S13" s="33">
        <v>4.523091029135138E-2</v>
      </c>
      <c r="T13" s="36">
        <v>87.6</v>
      </c>
      <c r="U13" s="34">
        <v>0.23487085833333335</v>
      </c>
      <c r="V13">
        <v>30.48</v>
      </c>
    </row>
    <row r="14" spans="1:22" x14ac:dyDescent="0.2">
      <c r="A14" s="35" t="s">
        <v>97</v>
      </c>
      <c r="B14" s="36">
        <v>2016</v>
      </c>
      <c r="C14" s="24">
        <v>21.761711926063636</v>
      </c>
      <c r="D14" s="37">
        <v>0.19845173074015077</v>
      </c>
      <c r="E14" s="27">
        <v>5.4947686261742623E-3</v>
      </c>
      <c r="F14" s="26">
        <v>0.99370000000000003</v>
      </c>
      <c r="G14" s="37">
        <v>9.2298449999999992</v>
      </c>
      <c r="H14" s="38">
        <v>131.533106</v>
      </c>
      <c r="I14" s="37">
        <v>5165.62372512</v>
      </c>
      <c r="J14" s="26">
        <v>1.4670000000000001</v>
      </c>
      <c r="K14" s="26">
        <v>39.4392</v>
      </c>
      <c r="L14" s="28">
        <v>1</v>
      </c>
      <c r="M14" s="26">
        <v>53.3947</v>
      </c>
      <c r="N14" s="24">
        <v>10.836492878046387</v>
      </c>
      <c r="O14" s="24">
        <v>1.1828340388401274E-2</v>
      </c>
      <c r="P14" s="24">
        <v>3.9719263118111393E-2</v>
      </c>
      <c r="Q14" s="24">
        <v>0.5145024802048388</v>
      </c>
      <c r="R14" s="41">
        <v>6.3985606603539713E-3</v>
      </c>
      <c r="S14" s="33">
        <v>0.11310164338924761</v>
      </c>
      <c r="T14" s="36">
        <v>87.2</v>
      </c>
      <c r="U14" s="34">
        <v>0.41611095833333328</v>
      </c>
      <c r="V14">
        <v>33.01</v>
      </c>
    </row>
    <row r="15" spans="1:22" x14ac:dyDescent="0.2">
      <c r="A15" s="35" t="s">
        <v>97</v>
      </c>
      <c r="B15" s="36">
        <v>2017</v>
      </c>
      <c r="C15" s="24">
        <v>22.019066276489468</v>
      </c>
      <c r="D15" s="37">
        <v>3.5517396750996086</v>
      </c>
      <c r="E15" s="27">
        <v>-2.7311689519339221E-2</v>
      </c>
      <c r="F15" s="26">
        <v>1.0083</v>
      </c>
      <c r="G15" s="37">
        <v>6.9629669999999999</v>
      </c>
      <c r="H15" s="38">
        <v>-24.5603041</v>
      </c>
      <c r="I15" s="37">
        <v>6958.7726562000007</v>
      </c>
      <c r="J15" s="26">
        <v>1.5366</v>
      </c>
      <c r="K15" s="26">
        <v>37.0685</v>
      </c>
      <c r="L15" s="28">
        <v>1</v>
      </c>
      <c r="M15" s="26">
        <v>73.196299999999994</v>
      </c>
      <c r="N15" s="24">
        <v>10.975550197899182</v>
      </c>
      <c r="O15" s="24">
        <v>1.1135146512435015E-2</v>
      </c>
      <c r="P15" s="24">
        <v>4.3088487173833935E-2</v>
      </c>
      <c r="Q15" s="24">
        <v>0.50296155726782188</v>
      </c>
      <c r="R15" s="41">
        <v>6.7254827837753949E-3</v>
      </c>
      <c r="S15" s="33">
        <v>0.14053805237899461</v>
      </c>
      <c r="T15" s="36">
        <v>85</v>
      </c>
      <c r="U15" s="34">
        <v>0.15523289166666668</v>
      </c>
      <c r="V15">
        <v>30.39</v>
      </c>
    </row>
    <row r="16" spans="1:22" x14ac:dyDescent="0.2">
      <c r="A16" s="35" t="s">
        <v>97</v>
      </c>
      <c r="B16" s="36">
        <v>2018</v>
      </c>
      <c r="C16" s="24">
        <v>22.645487139295785</v>
      </c>
      <c r="D16" s="37">
        <v>0.54963798195693092</v>
      </c>
      <c r="E16" s="27">
        <v>4.064484361372557E-3</v>
      </c>
      <c r="F16" s="26">
        <v>1.0176000000000001</v>
      </c>
      <c r="G16" s="37">
        <v>7.2857940000000001</v>
      </c>
      <c r="H16" s="38">
        <v>4.6363424999999996</v>
      </c>
      <c r="I16" s="37">
        <v>5731.38997767</v>
      </c>
      <c r="J16" s="26">
        <v>1.6667000000000001</v>
      </c>
      <c r="K16" s="26">
        <v>36.972700000000003</v>
      </c>
      <c r="L16" s="28">
        <v>1</v>
      </c>
      <c r="M16" s="26">
        <v>80.853700000000003</v>
      </c>
      <c r="N16" s="24">
        <v>11.032100165701584</v>
      </c>
      <c r="O16" s="24">
        <v>1.0518654977808307E-2</v>
      </c>
      <c r="P16" s="24">
        <v>3.1997139302175584E-2</v>
      </c>
      <c r="Q16" s="24">
        <v>0.65208862209504614</v>
      </c>
      <c r="R16" s="41">
        <v>6.893929564190558E-3</v>
      </c>
      <c r="S16" s="33">
        <v>2.9216410393568825E-2</v>
      </c>
      <c r="T16" s="36">
        <v>82.5</v>
      </c>
      <c r="U16" s="34">
        <v>2.8814983333333336E-2</v>
      </c>
      <c r="V16">
        <v>30.12</v>
      </c>
    </row>
    <row r="17" spans="1:22" x14ac:dyDescent="0.2">
      <c r="A17" s="35" t="s">
        <v>97</v>
      </c>
      <c r="B17" s="36">
        <v>2019</v>
      </c>
      <c r="C17" s="24">
        <v>22.299944758455027</v>
      </c>
      <c r="D17" s="37">
        <v>0.51739415108966613</v>
      </c>
      <c r="E17" s="27">
        <v>9.5358060077970971E-3</v>
      </c>
      <c r="F17" s="26">
        <v>1.038</v>
      </c>
      <c r="G17" s="37">
        <v>10.677431</v>
      </c>
      <c r="H17" s="38">
        <v>46.551371099999997</v>
      </c>
      <c r="I17" s="37">
        <v>4982.279881460001</v>
      </c>
      <c r="J17" s="26">
        <v>1.6641999999999999</v>
      </c>
      <c r="K17" s="26">
        <v>37.948099999999997</v>
      </c>
      <c r="L17" s="28">
        <v>1</v>
      </c>
      <c r="M17" s="26">
        <v>81.431700000000006</v>
      </c>
      <c r="N17" s="24">
        <v>11.147513675706854</v>
      </c>
      <c r="O17" s="24">
        <v>9.9658412219680477E-3</v>
      </c>
      <c r="P17" s="24">
        <v>2.7782409531926511E-2</v>
      </c>
      <c r="Q17" s="24">
        <v>0.85755679419810926</v>
      </c>
      <c r="R17" s="41">
        <v>6.8282740577437322E-3</v>
      </c>
      <c r="S17" s="33">
        <v>3.5027857139206212E-2</v>
      </c>
      <c r="T17" s="36">
        <v>80.3</v>
      </c>
      <c r="U17" s="34">
        <v>2.3433308333333333E-2</v>
      </c>
      <c r="V17">
        <v>30.86</v>
      </c>
    </row>
    <row r="18" spans="1:22" x14ac:dyDescent="0.2">
      <c r="A18" s="35" t="s">
        <v>97</v>
      </c>
      <c r="B18" s="36">
        <v>2020</v>
      </c>
      <c r="C18" s="24">
        <v>19.699126388299739</v>
      </c>
      <c r="D18" s="37">
        <v>-10.425416123709889</v>
      </c>
      <c r="E18" s="27">
        <v>0.12551923848965141</v>
      </c>
      <c r="F18" s="26">
        <v>1.0135000000000001</v>
      </c>
      <c r="G18" s="37">
        <v>5.5466030000000002</v>
      </c>
      <c r="H18" s="38">
        <v>-48.053019499999998</v>
      </c>
      <c r="I18" s="37">
        <v>5883.6266847799998</v>
      </c>
      <c r="J18" s="26">
        <v>1.4117</v>
      </c>
      <c r="K18" s="26">
        <v>39.745199999999997</v>
      </c>
      <c r="L18" s="28">
        <v>1</v>
      </c>
      <c r="M18" s="26">
        <v>81.750299999999996</v>
      </c>
      <c r="N18" s="24">
        <v>11.228414265316859</v>
      </c>
      <c r="O18" s="24">
        <v>1.0211107059755815E-2</v>
      </c>
      <c r="P18" s="24">
        <v>3.8113976777876604E-2</v>
      </c>
      <c r="Q18" s="24">
        <v>0.73167724028932091</v>
      </c>
      <c r="R18" s="41">
        <v>6.8477123930731987E-3</v>
      </c>
      <c r="S18" s="33">
        <v>-4.5924613649292165E-2</v>
      </c>
      <c r="T18" s="36">
        <v>79.2</v>
      </c>
      <c r="U18" s="34">
        <v>0.11969824166666666</v>
      </c>
      <c r="V18">
        <v>29.41</v>
      </c>
    </row>
    <row r="19" spans="1:22" x14ac:dyDescent="0.2">
      <c r="A19" s="35" t="s">
        <v>97</v>
      </c>
      <c r="B19" s="36">
        <v>2021</v>
      </c>
      <c r="C19" s="24">
        <v>20.4543641729875</v>
      </c>
      <c r="D19" s="37">
        <v>-6.182344742359545</v>
      </c>
      <c r="E19" s="27">
        <v>7.676975079272666E-2</v>
      </c>
      <c r="F19" s="26">
        <v>1.0249999999999999</v>
      </c>
      <c r="G19" s="37">
        <v>6.6867020000000004</v>
      </c>
      <c r="H19" s="38">
        <v>20.554905400000003</v>
      </c>
      <c r="I19" s="37">
        <v>3486.9348588800003</v>
      </c>
      <c r="J19" s="26">
        <v>1.4061999999999999</v>
      </c>
      <c r="K19" s="26">
        <v>39.609400000000001</v>
      </c>
      <c r="L19" s="28">
        <v>1</v>
      </c>
      <c r="M19" s="26">
        <v>83.012200000000007</v>
      </c>
      <c r="N19" s="24">
        <v>11.255651397839014</v>
      </c>
      <c r="O19" s="24">
        <v>1.0789423624543401E-2</v>
      </c>
      <c r="P19" s="24">
        <v>3.2843192772429468E-2</v>
      </c>
      <c r="Q19" s="24">
        <v>0.41383227833064157</v>
      </c>
      <c r="R19" s="41">
        <v>6.6236841034842857E-3</v>
      </c>
      <c r="S19" s="33">
        <v>0.16411731154872483</v>
      </c>
      <c r="T19" s="36">
        <v>81</v>
      </c>
      <c r="U19" s="34">
        <v>0.12740310000000002</v>
      </c>
      <c r="V19">
        <v>28.57</v>
      </c>
    </row>
    <row r="20" spans="1:22" x14ac:dyDescent="0.2">
      <c r="A20" s="35" t="s">
        <v>97</v>
      </c>
      <c r="B20" s="36">
        <v>2022</v>
      </c>
      <c r="C20" s="24">
        <v>20.40228253556602</v>
      </c>
      <c r="D20" s="37">
        <v>0.57926631137338946</v>
      </c>
      <c r="E20" s="27">
        <v>1.0469201196073578E-2</v>
      </c>
      <c r="F20" s="26">
        <v>1.0188999999999999</v>
      </c>
      <c r="G20" s="8">
        <v>0</v>
      </c>
      <c r="H20" s="38">
        <v>-100</v>
      </c>
      <c r="I20" s="37">
        <v>4464.5605738000004</v>
      </c>
      <c r="J20" s="26">
        <v>1.6986000000000001</v>
      </c>
      <c r="K20" s="26">
        <v>38.605200000000004</v>
      </c>
      <c r="L20" s="28">
        <v>1</v>
      </c>
      <c r="M20" s="26">
        <v>53.839399999999998</v>
      </c>
      <c r="N20" s="24">
        <v>11.234143907821588</v>
      </c>
      <c r="O20" s="24">
        <v>1.2721957273368646E-2</v>
      </c>
      <c r="P20" s="24">
        <v>3.0398734866863907E-2</v>
      </c>
      <c r="Q20" s="24">
        <v>0.73994280682218849</v>
      </c>
      <c r="R20" s="41">
        <v>6.5426462738921408E-3</v>
      </c>
      <c r="S20" s="33">
        <v>7.355736131395868E-2</v>
      </c>
      <c r="T20" s="36">
        <v>80.8</v>
      </c>
      <c r="U20" s="34">
        <v>0.28625994999999999</v>
      </c>
      <c r="V20">
        <v>30.74</v>
      </c>
    </row>
    <row r="21" spans="1:22" x14ac:dyDescent="0.2">
      <c r="A21" s="35"/>
      <c r="B21" s="36"/>
      <c r="C21" s="24"/>
      <c r="D21" s="37"/>
      <c r="E21" s="27"/>
      <c r="F21" s="26"/>
      <c r="G21" s="8"/>
      <c r="H21" s="38"/>
      <c r="I21" s="37"/>
      <c r="J21" s="26"/>
      <c r="K21" s="26"/>
      <c r="L21" s="28"/>
      <c r="M21" s="26"/>
      <c r="N21" s="24"/>
      <c r="O21" s="24"/>
      <c r="P21" s="24"/>
      <c r="Q21" s="24"/>
      <c r="R21" s="41"/>
      <c r="S21" s="33"/>
      <c r="T21" s="36"/>
      <c r="U21" s="34"/>
      <c r="V21"/>
    </row>
    <row r="22" spans="1:22" x14ac:dyDescent="0.2">
      <c r="A22" s="35" t="s">
        <v>60</v>
      </c>
      <c r="B22" s="36">
        <v>2014</v>
      </c>
      <c r="C22" s="12">
        <v>3.4109627322991467</v>
      </c>
      <c r="D22" s="37">
        <v>1.7123526441800976</v>
      </c>
      <c r="E22" s="9">
        <v>-4.1334912112520024E-3</v>
      </c>
      <c r="F22" s="11">
        <v>1.1128</v>
      </c>
      <c r="G22" s="8">
        <v>4.38</v>
      </c>
      <c r="H22" s="38">
        <v>36.874999999999993</v>
      </c>
      <c r="I22" s="37">
        <v>2672.2552143000003</v>
      </c>
      <c r="J22" s="11">
        <v>3.7229999999999999</v>
      </c>
      <c r="K22" s="11">
        <v>47.540799999999997</v>
      </c>
      <c r="L22" s="38">
        <v>1</v>
      </c>
      <c r="M22" s="8">
        <v>187.98249999999999</v>
      </c>
      <c r="N22" s="8">
        <v>9.091323058662427</v>
      </c>
      <c r="O22" s="8">
        <v>1.8170384830250526E-2</v>
      </c>
      <c r="P22" s="38">
        <v>0.19850360742544287</v>
      </c>
      <c r="Q22" s="8">
        <v>0.53928586373933607</v>
      </c>
      <c r="R22" s="41">
        <v>7.0898831159054545E-3</v>
      </c>
      <c r="S22" s="33">
        <v>4.7835816189875625E-2</v>
      </c>
      <c r="T22" s="36">
        <v>43.4</v>
      </c>
      <c r="U22" s="34">
        <v>4.1471583333333333E-2</v>
      </c>
      <c r="V22">
        <v>44.395154304209697</v>
      </c>
    </row>
    <row r="23" spans="1:22" x14ac:dyDescent="0.2">
      <c r="A23" s="35" t="s">
        <v>60</v>
      </c>
      <c r="B23" s="36">
        <v>2015</v>
      </c>
      <c r="C23" s="37">
        <v>2.9309040465919289</v>
      </c>
      <c r="D23" s="37">
        <v>1.376773186319153</v>
      </c>
      <c r="E23" s="9">
        <v>3.9141269661770207E-3</v>
      </c>
      <c r="F23" s="37">
        <v>1.0609999999999999</v>
      </c>
      <c r="G23" s="37">
        <v>5.24</v>
      </c>
      <c r="H23" s="38">
        <v>19.63470319634704</v>
      </c>
      <c r="I23" s="37">
        <v>2634.9947520000005</v>
      </c>
      <c r="J23" s="37">
        <v>3.2039</v>
      </c>
      <c r="K23" s="37">
        <v>51.079799999999999</v>
      </c>
      <c r="L23" s="38">
        <v>1</v>
      </c>
      <c r="M23" s="37">
        <v>327.17180000000002</v>
      </c>
      <c r="N23" s="37">
        <v>9.3376543766384525</v>
      </c>
      <c r="O23" s="37">
        <v>1.4246309339409497E-2</v>
      </c>
      <c r="P23" s="38">
        <v>0.17614425973627137</v>
      </c>
      <c r="Q23" s="37">
        <v>0.7186611616301225</v>
      </c>
      <c r="R23" s="41">
        <v>8.3246126290503816E-3</v>
      </c>
      <c r="S23" s="33">
        <v>3.0127105290255505E-2</v>
      </c>
      <c r="T23" s="36">
        <v>45.2</v>
      </c>
      <c r="U23" s="34">
        <v>0.18857363333333335</v>
      </c>
      <c r="V23">
        <v>45.502839942143098</v>
      </c>
    </row>
    <row r="24" spans="1:22" x14ac:dyDescent="0.2">
      <c r="A24" s="35" t="s">
        <v>60</v>
      </c>
      <c r="B24" s="36">
        <v>2016</v>
      </c>
      <c r="C24" s="37">
        <v>2.5588075259516265</v>
      </c>
      <c r="D24" s="37">
        <v>23.702105914362811</v>
      </c>
      <c r="E24" s="9">
        <v>-0.21839435076967584</v>
      </c>
      <c r="F24" s="37">
        <v>1.0664</v>
      </c>
      <c r="G24" s="37">
        <v>42.78</v>
      </c>
      <c r="H24" s="38">
        <v>716.41221374045801</v>
      </c>
      <c r="I24" s="37">
        <v>3466.0822136800002</v>
      </c>
      <c r="J24" s="37">
        <v>3.2039</v>
      </c>
      <c r="K24" s="37">
        <v>50.019399999999997</v>
      </c>
      <c r="L24" s="38">
        <v>1</v>
      </c>
      <c r="M24" s="37">
        <v>242.66370000000001</v>
      </c>
      <c r="N24" s="37">
        <v>9.5475290090641476</v>
      </c>
      <c r="O24" s="37">
        <v>1.2917508912434719E-2</v>
      </c>
      <c r="P24" s="38">
        <v>0.20618081047802228</v>
      </c>
      <c r="Q24" s="37">
        <v>0.73665874661379915</v>
      </c>
      <c r="R24" s="41">
        <v>8.4571625588814019E-3</v>
      </c>
      <c r="S24" s="33">
        <v>3.9749702840340337E-2</v>
      </c>
      <c r="T24" s="36">
        <v>46</v>
      </c>
      <c r="U24" s="34">
        <v>0.37347397500000001</v>
      </c>
      <c r="V24">
        <v>47.4924638585099</v>
      </c>
    </row>
    <row r="25" spans="1:22" x14ac:dyDescent="0.2">
      <c r="A25" s="35" t="s">
        <v>60</v>
      </c>
      <c r="B25" s="36">
        <v>2017</v>
      </c>
      <c r="C25" s="37">
        <v>2.7183821938973955</v>
      </c>
      <c r="D25" s="37">
        <v>0.15563237658294524</v>
      </c>
      <c r="E25" s="9">
        <v>1.3049463324497256E-2</v>
      </c>
      <c r="F25" s="37">
        <v>1.1216999999999999</v>
      </c>
      <c r="G25" s="37">
        <v>6.31</v>
      </c>
      <c r="H25" s="38">
        <v>-85.250116877045343</v>
      </c>
      <c r="I25" s="37">
        <v>5225.4686056</v>
      </c>
      <c r="J25" s="37">
        <v>3.2039</v>
      </c>
      <c r="K25" s="37">
        <v>49.498699999999999</v>
      </c>
      <c r="L25" s="38">
        <v>1</v>
      </c>
      <c r="M25" s="37">
        <v>149.60550000000001</v>
      </c>
      <c r="N25" s="37">
        <v>9.5384026293647359</v>
      </c>
      <c r="O25" s="37">
        <v>1.0295957195698527E-2</v>
      </c>
      <c r="P25" s="38">
        <v>0.20117766258769693</v>
      </c>
      <c r="Q25" s="37">
        <v>0.78895713298725334</v>
      </c>
      <c r="R25" s="41">
        <v>9.0401666389695427E-3</v>
      </c>
      <c r="S25" s="33">
        <v>3.0925609124340198E-2</v>
      </c>
      <c r="T25" s="36">
        <v>43.6</v>
      </c>
      <c r="U25" s="34">
        <v>0.13549924166666663</v>
      </c>
      <c r="V25">
        <v>50.403719793717698</v>
      </c>
    </row>
    <row r="26" spans="1:22" x14ac:dyDescent="0.2">
      <c r="A26" s="35" t="s">
        <v>60</v>
      </c>
      <c r="B26" s="36">
        <v>2018</v>
      </c>
      <c r="C26" s="37">
        <v>2.2044744123098545</v>
      </c>
      <c r="D26" s="37">
        <v>1.7686674826656392</v>
      </c>
      <c r="E26" s="9">
        <v>1.0784583210169397E-4</v>
      </c>
      <c r="F26" s="37">
        <v>1.0097</v>
      </c>
      <c r="G26" s="37">
        <v>5.82</v>
      </c>
      <c r="H26" s="38">
        <v>-7.7654516640253473</v>
      </c>
      <c r="I26" s="37">
        <v>5820.0901792500008</v>
      </c>
      <c r="J26" s="37">
        <v>3.2039</v>
      </c>
      <c r="K26" s="37">
        <v>53.685000000000002</v>
      </c>
      <c r="L26" s="38">
        <v>1</v>
      </c>
      <c r="M26" s="37">
        <v>132.71559999999999</v>
      </c>
      <c r="N26" s="37">
        <v>9.5916313802096873</v>
      </c>
      <c r="O26" s="37">
        <v>1.1888964661159242E-2</v>
      </c>
      <c r="P26" s="38">
        <v>0.11038991325093049</v>
      </c>
      <c r="Q26" s="37">
        <v>1.1882693755383515</v>
      </c>
      <c r="R26" s="41">
        <v>8.6015156282781956E-3</v>
      </c>
      <c r="S26" s="33">
        <v>5.5897215912753283E-2</v>
      </c>
      <c r="T26" s="36">
        <v>45.9</v>
      </c>
      <c r="U26" s="34">
        <v>0.15967181666666666</v>
      </c>
      <c r="V26">
        <v>52.661429953968302</v>
      </c>
    </row>
    <row r="27" spans="1:22" x14ac:dyDescent="0.2">
      <c r="A27" s="35" t="s">
        <v>60</v>
      </c>
      <c r="B27" s="36">
        <v>2019</v>
      </c>
      <c r="C27" s="37">
        <v>2.4096707394231909</v>
      </c>
      <c r="D27" s="37">
        <v>2.8272844737856211</v>
      </c>
      <c r="E27" s="9">
        <v>-9.853929738962779E-3</v>
      </c>
      <c r="F27" s="37">
        <v>1.0363</v>
      </c>
      <c r="G27" s="37">
        <v>3.03</v>
      </c>
      <c r="H27" s="38">
        <v>-47.938144329896915</v>
      </c>
      <c r="I27" s="37">
        <v>10530.773629429999</v>
      </c>
      <c r="J27" s="37">
        <v>3.2039</v>
      </c>
      <c r="K27" s="37">
        <v>51.1387</v>
      </c>
      <c r="L27" s="38">
        <v>1</v>
      </c>
      <c r="M27" s="37">
        <v>120.6456</v>
      </c>
      <c r="N27" s="37">
        <v>9.6576213549418739</v>
      </c>
      <c r="O27" s="37">
        <v>1.3046566408073468E-2</v>
      </c>
      <c r="P27" s="38">
        <v>9.5099035953183489E-2</v>
      </c>
      <c r="Q27" s="37">
        <v>1.4009303996707883</v>
      </c>
      <c r="R27" s="41">
        <v>9.0810102041953122E-3</v>
      </c>
      <c r="S27" s="33">
        <v>8.6441425188647905E-2</v>
      </c>
      <c r="T27" s="36">
        <v>45.8</v>
      </c>
      <c r="U27" s="34">
        <v>0.15531761666666663</v>
      </c>
      <c r="V27">
        <v>51.795782651733298</v>
      </c>
    </row>
    <row r="28" spans="1:22" x14ac:dyDescent="0.2">
      <c r="A28" s="35" t="s">
        <v>60</v>
      </c>
      <c r="B28" s="36">
        <v>2020</v>
      </c>
      <c r="C28" s="37">
        <v>2.0303119328095263</v>
      </c>
      <c r="D28" s="37">
        <v>1.4511418868549188</v>
      </c>
      <c r="E28" s="9">
        <v>1.6875214839554623E-2</v>
      </c>
      <c r="F28" s="37">
        <v>0.96589999999999998</v>
      </c>
      <c r="G28" s="37">
        <v>2.63</v>
      </c>
      <c r="H28" s="38">
        <v>-13.201320132013199</v>
      </c>
      <c r="I28" s="37">
        <v>41448.008837339999</v>
      </c>
      <c r="J28" s="37">
        <v>3.2039</v>
      </c>
      <c r="K28" s="37">
        <v>39.247999999999998</v>
      </c>
      <c r="L28" s="38">
        <v>1</v>
      </c>
      <c r="M28" s="37">
        <v>54.931699999999999</v>
      </c>
      <c r="N28" s="37">
        <v>9.5176110635319056</v>
      </c>
      <c r="O28" s="37">
        <v>4.6985221073514098E-2</v>
      </c>
      <c r="P28" s="38">
        <v>0.13424931561458101</v>
      </c>
      <c r="Q28" s="37">
        <v>2.328731517361541</v>
      </c>
      <c r="R28" s="41">
        <v>1.0454403775516928E-2</v>
      </c>
      <c r="S28" s="33">
        <v>-3.9998203799255165E-2</v>
      </c>
      <c r="T28" s="36">
        <v>45.5</v>
      </c>
      <c r="U28" s="34">
        <v>0.20053407500000001</v>
      </c>
      <c r="V28">
        <v>49.624096002632797</v>
      </c>
    </row>
    <row r="29" spans="1:22" x14ac:dyDescent="0.2">
      <c r="A29" s="35" t="s">
        <v>60</v>
      </c>
      <c r="B29" s="36">
        <v>2021</v>
      </c>
      <c r="C29" s="37">
        <v>2.0047786567295653</v>
      </c>
      <c r="D29" s="37">
        <v>-3.6358353424454268</v>
      </c>
      <c r="E29" s="9">
        <v>5.413225497048138E-2</v>
      </c>
      <c r="F29" s="37">
        <v>0.94950000000000001</v>
      </c>
      <c r="G29" s="37">
        <v>3.53</v>
      </c>
      <c r="H29" s="38">
        <v>34.22053231939163</v>
      </c>
      <c r="I29" s="37">
        <v>38621.717787899994</v>
      </c>
      <c r="J29" s="37">
        <v>3.2039</v>
      </c>
      <c r="K29" s="37">
        <v>60.185299999999998</v>
      </c>
      <c r="L29" s="38">
        <v>1</v>
      </c>
      <c r="M29" s="37">
        <v>26.647200000000002</v>
      </c>
      <c r="N29" s="37">
        <v>9.5253652056848104</v>
      </c>
      <c r="O29" s="37">
        <v>3.897158535785155E-2</v>
      </c>
      <c r="P29" s="38">
        <v>0.17292647718772391</v>
      </c>
      <c r="Q29" s="37">
        <v>0.6197608936355099</v>
      </c>
      <c r="R29" s="41">
        <v>8.9142165348019917E-3</v>
      </c>
      <c r="S29" s="33">
        <v>8.9388014366234975E-2</v>
      </c>
      <c r="T29" s="36">
        <v>46.7</v>
      </c>
      <c r="U29" s="34">
        <v>0.33326032500000008</v>
      </c>
      <c r="V29">
        <v>49.254597728841198</v>
      </c>
    </row>
    <row r="30" spans="1:22" x14ac:dyDescent="0.2">
      <c r="A30" s="35" t="s">
        <v>60</v>
      </c>
      <c r="B30" s="36">
        <v>2022</v>
      </c>
      <c r="C30" s="37">
        <v>2.5335439850475034</v>
      </c>
      <c r="D30" s="37">
        <v>1.7765634351431794</v>
      </c>
      <c r="E30" s="9">
        <v>-5.4331670054125827E-3</v>
      </c>
      <c r="F30" s="37">
        <v>0.92849999999999999</v>
      </c>
      <c r="G30" s="37">
        <v>3.42</v>
      </c>
      <c r="H30" s="38">
        <v>-3.1161473087818665</v>
      </c>
      <c r="I30" s="37">
        <v>28660.287161920001</v>
      </c>
      <c r="J30" s="37">
        <v>3.2039</v>
      </c>
      <c r="K30" s="37">
        <v>60.845399999999998</v>
      </c>
      <c r="L30" s="38">
        <v>1</v>
      </c>
      <c r="M30" s="37">
        <v>71.191000000000003</v>
      </c>
      <c r="N30" s="37">
        <v>9.6242599864790908</v>
      </c>
      <c r="O30" s="37">
        <v>3.1744149357418927E-2</v>
      </c>
      <c r="P30" s="38">
        <v>0.14247698764950004</v>
      </c>
      <c r="Q30" s="37">
        <v>0.61341704804322494</v>
      </c>
      <c r="R30" s="41">
        <v>8.567342882229028E-3</v>
      </c>
      <c r="S30" s="33">
        <v>2.5874885310194974E-2</v>
      </c>
      <c r="T30" s="36">
        <v>52.3</v>
      </c>
      <c r="U30" s="34">
        <v>0.29102359166666669</v>
      </c>
      <c r="V30">
        <v>54.477785837204998</v>
      </c>
    </row>
    <row r="31" spans="1:22" x14ac:dyDescent="0.2">
      <c r="A31" s="35"/>
      <c r="B31" s="36"/>
      <c r="C31" s="37"/>
      <c r="D31" s="37"/>
      <c r="E31" s="9"/>
      <c r="F31" s="37"/>
      <c r="G31" s="37"/>
      <c r="H31" s="38"/>
      <c r="I31" s="37"/>
      <c r="J31" s="37"/>
      <c r="K31" s="37"/>
      <c r="L31" s="38"/>
      <c r="M31" s="37"/>
      <c r="N31" s="37"/>
      <c r="O31" s="37"/>
      <c r="P31" s="38"/>
      <c r="Q31" s="37"/>
      <c r="R31" s="41"/>
      <c r="S31" s="33"/>
      <c r="T31" s="36"/>
      <c r="U31" s="34"/>
      <c r="V31"/>
    </row>
    <row r="32" spans="1:22" x14ac:dyDescent="0.2">
      <c r="A32" s="35" t="s">
        <v>72</v>
      </c>
      <c r="B32" s="36">
        <v>2014</v>
      </c>
      <c r="C32" s="8">
        <v>13.609609694287718</v>
      </c>
      <c r="D32" s="37">
        <v>0.91729841857070837</v>
      </c>
      <c r="E32" s="6">
        <v>7.7509649265027703E-3</v>
      </c>
      <c r="F32" s="8">
        <v>1.3361000000000001</v>
      </c>
      <c r="G32" s="37">
        <v>30016.83</v>
      </c>
      <c r="H32" s="38">
        <v>8.8134026448581988</v>
      </c>
      <c r="I32" s="37">
        <v>19664.726487300002</v>
      </c>
      <c r="J32" s="8">
        <v>5.0812999999999997</v>
      </c>
      <c r="K32" s="8">
        <v>63.133099999999999</v>
      </c>
      <c r="L32" s="38">
        <v>1</v>
      </c>
      <c r="M32" s="8">
        <v>153.5367</v>
      </c>
      <c r="N32" s="8">
        <v>9.9237645672927819</v>
      </c>
      <c r="O32" s="8">
        <v>6.7316530638540147E-3</v>
      </c>
      <c r="P32" s="8">
        <v>4.8071015199940295E-2</v>
      </c>
      <c r="Q32" s="8">
        <v>1.7080556589853755</v>
      </c>
      <c r="R32" s="41">
        <v>1.2678502193144776E-2</v>
      </c>
      <c r="S32" s="33">
        <v>9.8240353028793539E-2</v>
      </c>
      <c r="T32" s="33">
        <v>29.2</v>
      </c>
      <c r="U32" s="34">
        <v>0.144828875</v>
      </c>
      <c r="V32">
        <v>61.029514460784299</v>
      </c>
    </row>
    <row r="33" spans="1:22" x14ac:dyDescent="0.2">
      <c r="A33" s="35" t="s">
        <v>72</v>
      </c>
      <c r="B33" s="36">
        <v>2015</v>
      </c>
      <c r="C33" s="8">
        <v>14.655694060309067</v>
      </c>
      <c r="D33" s="37">
        <v>2.6808844660074578</v>
      </c>
      <c r="E33" s="6">
        <v>-9.9290720084969173E-3</v>
      </c>
      <c r="F33" s="8">
        <v>1.5336000000000001</v>
      </c>
      <c r="G33" s="37">
        <v>43972</v>
      </c>
      <c r="H33" s="38">
        <v>46.491151797175114</v>
      </c>
      <c r="I33" s="37">
        <v>22340.409075449999</v>
      </c>
      <c r="J33" s="8">
        <v>5.0251999999999999</v>
      </c>
      <c r="K33" s="8">
        <v>65.811499999999995</v>
      </c>
      <c r="L33" s="38">
        <v>1</v>
      </c>
      <c r="M33" s="8">
        <v>143.9913</v>
      </c>
      <c r="N33" s="8">
        <v>10.079331109825656</v>
      </c>
      <c r="O33" s="8">
        <v>7.0372749429147476E-3</v>
      </c>
      <c r="P33" s="8">
        <v>3.9321375751748794E-2</v>
      </c>
      <c r="Q33" s="8">
        <v>1.5310185657862918</v>
      </c>
      <c r="R33" s="41">
        <v>1.2253729391333944E-2</v>
      </c>
      <c r="S33" s="33">
        <v>3.1612495952536568E-2</v>
      </c>
      <c r="T33" s="42">
        <v>29.3</v>
      </c>
      <c r="U33" s="34">
        <v>0.17680460000000001</v>
      </c>
      <c r="V33">
        <v>64.151944463278596</v>
      </c>
    </row>
    <row r="34" spans="1:22" x14ac:dyDescent="0.2">
      <c r="A34" s="35" t="s">
        <v>72</v>
      </c>
      <c r="B34" s="36">
        <v>2016</v>
      </c>
      <c r="C34" s="8">
        <v>11.702628395188249</v>
      </c>
      <c r="D34" s="37">
        <v>-2.1379197720905894</v>
      </c>
      <c r="E34" s="6">
        <v>3.4970174019812401E-2</v>
      </c>
      <c r="F34" s="8">
        <v>1.3798999999999999</v>
      </c>
      <c r="G34" s="37">
        <v>206476.52000000002</v>
      </c>
      <c r="H34" s="38">
        <v>369.56363140180122</v>
      </c>
      <c r="I34" s="37">
        <v>45610.750639409998</v>
      </c>
      <c r="J34" s="8">
        <v>5.1645000000000003</v>
      </c>
      <c r="K34" s="8">
        <v>64.183300000000003</v>
      </c>
      <c r="L34" s="38">
        <v>1</v>
      </c>
      <c r="M34" s="8">
        <v>132.63570000000001</v>
      </c>
      <c r="N34" s="8">
        <v>10.502437863082356</v>
      </c>
      <c r="O34" s="8">
        <v>1.0768334135878342E-2</v>
      </c>
      <c r="P34" s="8">
        <v>4.4190358070766461E-2</v>
      </c>
      <c r="Q34" s="8">
        <v>2.2140814342925328</v>
      </c>
      <c r="R34" s="41">
        <v>1.0766478031472062E-2</v>
      </c>
      <c r="S34" s="33">
        <v>9.0896369032459928E-2</v>
      </c>
      <c r="T34" s="42">
        <v>29.6</v>
      </c>
      <c r="U34" s="34">
        <v>0.16582907499999999</v>
      </c>
      <c r="V34">
        <v>67.195312807389399</v>
      </c>
    </row>
    <row r="35" spans="1:22" x14ac:dyDescent="0.2">
      <c r="A35" s="35" t="s">
        <v>72</v>
      </c>
      <c r="B35" s="36">
        <v>2017</v>
      </c>
      <c r="C35" s="8">
        <v>12.529858447036284</v>
      </c>
      <c r="D35" s="37">
        <v>1.7112992670753988</v>
      </c>
      <c r="E35" s="6">
        <v>-5.72017270225694E-3</v>
      </c>
      <c r="F35" s="8">
        <v>1.4419999999999999</v>
      </c>
      <c r="G35" s="37">
        <v>155188.69999999998</v>
      </c>
      <c r="H35" s="38">
        <v>-24.839541077116191</v>
      </c>
      <c r="I35" s="37">
        <v>58644.721935900001</v>
      </c>
      <c r="J35" s="8">
        <v>4.5743999999999998</v>
      </c>
      <c r="K35" s="8">
        <v>62.983400000000003</v>
      </c>
      <c r="L35" s="38">
        <v>1</v>
      </c>
      <c r="M35" s="8">
        <v>130.89150000000001</v>
      </c>
      <c r="N35" s="8">
        <v>10.659127796523123</v>
      </c>
      <c r="O35" s="8">
        <v>1.1010061272585412E-2</v>
      </c>
      <c r="P35" s="8">
        <v>8.1631460327297234E-2</v>
      </c>
      <c r="Q35" s="8">
        <v>1.5626861416437556</v>
      </c>
      <c r="R35" s="41">
        <v>1.086443719216452E-2</v>
      </c>
      <c r="S35" s="33">
        <v>0.15542873309395608</v>
      </c>
      <c r="T35" s="42">
        <v>32.6</v>
      </c>
      <c r="U35" s="34">
        <v>0.18246399999999999</v>
      </c>
      <c r="V35">
        <v>65.121568645066006</v>
      </c>
    </row>
    <row r="36" spans="1:22" x14ac:dyDescent="0.2">
      <c r="A36" s="35" t="s">
        <v>72</v>
      </c>
      <c r="B36" s="36">
        <v>2018</v>
      </c>
      <c r="C36" s="8">
        <v>13.246668646085871</v>
      </c>
      <c r="D36" s="37">
        <v>1.1613695802401618</v>
      </c>
      <c r="E36" s="6">
        <v>4.347173442081631E-3</v>
      </c>
      <c r="F36" s="8">
        <v>1.4417</v>
      </c>
      <c r="G36" s="37">
        <v>162650.68</v>
      </c>
      <c r="H36" s="38">
        <v>4.8083268949350124</v>
      </c>
      <c r="I36" s="37">
        <v>62494.359697140004</v>
      </c>
      <c r="J36" s="8">
        <v>4.4574999999999996</v>
      </c>
      <c r="K36" s="8">
        <v>62.143900000000002</v>
      </c>
      <c r="L36" s="38">
        <v>1</v>
      </c>
      <c r="M36" s="8">
        <v>119.01600000000001</v>
      </c>
      <c r="N36" s="8">
        <v>10.856020124739615</v>
      </c>
      <c r="O36" s="8">
        <v>1.0378337170980852E-2</v>
      </c>
      <c r="P36" s="8">
        <v>5.3572401097400184E-2</v>
      </c>
      <c r="Q36" s="8">
        <v>1.3612733580304377</v>
      </c>
      <c r="R36" s="41">
        <v>1.0884862445201161E-2</v>
      </c>
      <c r="S36" s="33">
        <v>1.9406327007352973E-2</v>
      </c>
      <c r="T36" s="42">
        <v>36</v>
      </c>
      <c r="U36" s="34">
        <v>7.0109500000000005E-2</v>
      </c>
      <c r="V36">
        <v>68.389467093542095</v>
      </c>
    </row>
    <row r="37" spans="1:22" x14ac:dyDescent="0.2">
      <c r="A37" s="35" t="s">
        <v>72</v>
      </c>
      <c r="B37" s="36">
        <v>2019</v>
      </c>
      <c r="C37" s="8">
        <v>12.902865471436829</v>
      </c>
      <c r="D37" s="37">
        <v>-0.64827727759436671</v>
      </c>
      <c r="E37" s="6">
        <v>2.0369799302430991E-2</v>
      </c>
      <c r="F37" s="8">
        <v>1.4971000000000001</v>
      </c>
      <c r="G37" s="37">
        <v>167116.32999999999</v>
      </c>
      <c r="H37" s="38">
        <v>2.745546468050422</v>
      </c>
      <c r="I37" s="37">
        <v>69083.271456179995</v>
      </c>
      <c r="J37" s="8">
        <v>4.3204000000000002</v>
      </c>
      <c r="K37" s="8">
        <v>62.261800000000001</v>
      </c>
      <c r="L37" s="38">
        <v>1</v>
      </c>
      <c r="M37" s="8">
        <v>117.1671</v>
      </c>
      <c r="N37" s="8">
        <v>10.950878512648137</v>
      </c>
      <c r="O37" s="8">
        <v>1.1865833761815726E-2</v>
      </c>
      <c r="P37" s="8">
        <v>5.9996265743016371E-2</v>
      </c>
      <c r="Q37" s="8">
        <v>1.4359882336557974</v>
      </c>
      <c r="R37" s="41">
        <v>1.0959023258259955E-2</v>
      </c>
      <c r="S37" s="33">
        <v>4.9086221200260238E-2</v>
      </c>
      <c r="T37" s="42">
        <v>36.700000000000003</v>
      </c>
      <c r="U37" s="34">
        <v>0.19089490833333334</v>
      </c>
      <c r="V37">
        <v>70.420340535955106</v>
      </c>
    </row>
    <row r="38" spans="1:22" x14ac:dyDescent="0.2">
      <c r="A38" s="35" t="s">
        <v>72</v>
      </c>
      <c r="B38" s="36">
        <v>2020</v>
      </c>
      <c r="C38" s="8">
        <v>13.441394907025629</v>
      </c>
      <c r="D38" s="37">
        <v>1.3320574351811902</v>
      </c>
      <c r="E38" s="6">
        <v>1.5893943642003135E-2</v>
      </c>
      <c r="F38" s="8">
        <v>1.4079999999999999</v>
      </c>
      <c r="G38" s="37">
        <v>145028.69</v>
      </c>
      <c r="H38" s="38">
        <v>-13.216925000686638</v>
      </c>
      <c r="I38" s="37">
        <v>72807.991254320004</v>
      </c>
      <c r="J38" s="8">
        <v>4.4649000000000001</v>
      </c>
      <c r="K38" s="8">
        <v>62.190899999999999</v>
      </c>
      <c r="L38" s="38">
        <v>0</v>
      </c>
      <c r="M38" s="8">
        <v>99.185599999999994</v>
      </c>
      <c r="N38" s="8">
        <v>10.981841526898501</v>
      </c>
      <c r="O38" s="8">
        <v>1.3692630285784713E-2</v>
      </c>
      <c r="P38" s="8">
        <v>0.12197309008568907</v>
      </c>
      <c r="Q38" s="8">
        <v>1.392133723523058</v>
      </c>
      <c r="R38" s="41">
        <v>9.7291727341097031E-3</v>
      </c>
      <c r="S38" s="33">
        <v>-5.7839783974402245E-2</v>
      </c>
      <c r="T38" s="42">
        <v>41.3</v>
      </c>
      <c r="U38" s="34">
        <v>0.12185847500000001</v>
      </c>
      <c r="V38">
        <v>74.099566883605206</v>
      </c>
    </row>
    <row r="39" spans="1:22" x14ac:dyDescent="0.2">
      <c r="A39" s="35" t="s">
        <v>72</v>
      </c>
      <c r="B39" s="36">
        <v>2021</v>
      </c>
      <c r="C39" s="8">
        <v>14.311879372490813</v>
      </c>
      <c r="D39" s="37">
        <v>2.9697775380337372</v>
      </c>
      <c r="E39" s="6">
        <v>-1.278207718962051E-2</v>
      </c>
      <c r="F39" s="8">
        <v>1.5483</v>
      </c>
      <c r="G39" s="37">
        <v>152715.14000000001</v>
      </c>
      <c r="H39" s="38">
        <v>5.2999513406623278</v>
      </c>
      <c r="I39" s="37">
        <v>113126.662107</v>
      </c>
      <c r="J39" s="8">
        <v>4.5854999999999997</v>
      </c>
      <c r="K39" s="8">
        <v>64.369200000000006</v>
      </c>
      <c r="L39" s="38">
        <v>1</v>
      </c>
      <c r="M39" s="8">
        <v>59.095100000000002</v>
      </c>
      <c r="N39" s="8">
        <v>11.089067248477214</v>
      </c>
      <c r="O39" s="8">
        <v>1.8374938850903261E-2</v>
      </c>
      <c r="P39" s="8">
        <v>8.0242801793245278E-2</v>
      </c>
      <c r="Q39" s="8">
        <v>0.98467630083412971</v>
      </c>
      <c r="R39" s="41">
        <v>9.2117798928871338E-3</v>
      </c>
      <c r="S39" s="33">
        <v>0.1791856081844693</v>
      </c>
      <c r="T39" s="42">
        <v>39.4</v>
      </c>
      <c r="U39" s="34">
        <v>6.0301849999999997E-2</v>
      </c>
      <c r="V39">
        <v>73.918012815435105</v>
      </c>
    </row>
    <row r="40" spans="1:22" x14ac:dyDescent="0.2">
      <c r="A40" s="35" t="s">
        <v>72</v>
      </c>
      <c r="B40" s="36">
        <v>2022</v>
      </c>
      <c r="C40" s="8">
        <v>15.482427753633173</v>
      </c>
      <c r="D40" s="37">
        <v>-0.34138732730563093</v>
      </c>
      <c r="E40" s="6">
        <v>1.9254945647945026E-2</v>
      </c>
      <c r="F40" s="8">
        <v>1.4591000000000001</v>
      </c>
      <c r="G40" s="37">
        <v>219608.65</v>
      </c>
      <c r="H40" s="38">
        <v>43.802801739238149</v>
      </c>
      <c r="I40" s="37">
        <v>96610.491830600004</v>
      </c>
      <c r="J40" s="8">
        <v>4.6372</v>
      </c>
      <c r="K40" s="8">
        <v>62.233899999999998</v>
      </c>
      <c r="L40" s="38">
        <v>1</v>
      </c>
      <c r="M40" s="8">
        <v>60.162300000000002</v>
      </c>
      <c r="N40" s="8">
        <v>11.184281586836178</v>
      </c>
      <c r="O40" s="8">
        <v>1.5307013409720047E-2</v>
      </c>
      <c r="P40" s="8">
        <v>7.3051848786840359E-2</v>
      </c>
      <c r="Q40" s="8">
        <v>0.72443676330347995</v>
      </c>
      <c r="R40" s="41">
        <v>9.9716171887166936E-3</v>
      </c>
      <c r="S40" s="33">
        <v>7.452704133482646E-2</v>
      </c>
      <c r="T40" s="42">
        <v>40.9</v>
      </c>
      <c r="U40" s="34">
        <v>0.19755554166666667</v>
      </c>
      <c r="V40">
        <v>78.604490582991602</v>
      </c>
    </row>
    <row r="92" spans="1:18" x14ac:dyDescent="0.2">
      <c r="A92" s="2"/>
      <c r="B92" s="5"/>
      <c r="C92" s="8"/>
      <c r="D92" s="4"/>
      <c r="E92" s="6"/>
      <c r="F92" s="8"/>
      <c r="G92" s="4"/>
      <c r="H92" s="7"/>
      <c r="I92" s="4"/>
      <c r="J92" s="8"/>
      <c r="K92" s="8"/>
      <c r="L92" s="7"/>
      <c r="M92" s="8"/>
      <c r="N92" s="8"/>
      <c r="O92" s="8"/>
      <c r="P92" s="8"/>
      <c r="Q92" s="8"/>
      <c r="R92" s="3"/>
    </row>
    <row r="93" spans="1:18" x14ac:dyDescent="0.2">
      <c r="A93" s="2"/>
      <c r="B93" s="5"/>
      <c r="C93" s="8"/>
      <c r="D93" s="4"/>
      <c r="E93" s="6"/>
      <c r="F93" s="8"/>
      <c r="G93" s="4"/>
      <c r="H93" s="7"/>
      <c r="I93" s="4"/>
      <c r="J93" s="8"/>
      <c r="K93" s="8"/>
      <c r="L93" s="7"/>
      <c r="M93" s="8"/>
      <c r="N93" s="8"/>
      <c r="O93" s="8"/>
      <c r="P93" s="8"/>
      <c r="Q93" s="8"/>
      <c r="R93" s="3"/>
    </row>
    <row r="94" spans="1:18" x14ac:dyDescent="0.2">
      <c r="A94" s="2"/>
      <c r="B94" s="5"/>
      <c r="C94" s="8"/>
      <c r="D94" s="4"/>
      <c r="E94" s="6"/>
      <c r="F94" s="8"/>
      <c r="G94" s="4"/>
      <c r="H94" s="7"/>
      <c r="I94" s="4"/>
      <c r="J94" s="8"/>
      <c r="K94" s="8"/>
      <c r="L94" s="7"/>
      <c r="M94" s="8"/>
      <c r="N94" s="8"/>
      <c r="O94" s="8"/>
      <c r="P94" s="8"/>
      <c r="Q94" s="8"/>
      <c r="R94" s="3"/>
    </row>
    <row r="95" spans="1:18" x14ac:dyDescent="0.2">
      <c r="A95" s="2"/>
      <c r="B95" s="5"/>
      <c r="C95" s="8"/>
      <c r="D95" s="4"/>
      <c r="E95" s="6"/>
      <c r="F95" s="8"/>
      <c r="G95" s="4"/>
      <c r="H95" s="7"/>
      <c r="I95" s="4"/>
      <c r="J95" s="8"/>
      <c r="K95" s="8"/>
      <c r="L95" s="7"/>
      <c r="M95" s="8"/>
      <c r="N95" s="8"/>
      <c r="O95" s="8"/>
      <c r="P95" s="8"/>
      <c r="Q95" s="8"/>
      <c r="R95" s="3"/>
    </row>
    <row r="96" spans="1:18" x14ac:dyDescent="0.2">
      <c r="A96" s="2"/>
      <c r="B96" s="5"/>
      <c r="C96" s="8"/>
      <c r="D96" s="4"/>
      <c r="E96" s="6"/>
      <c r="F96" s="8"/>
      <c r="G96" s="4"/>
      <c r="H96" s="7"/>
      <c r="I96" s="4"/>
      <c r="J96" s="8"/>
      <c r="K96" s="8"/>
      <c r="L96" s="7"/>
      <c r="M96" s="8"/>
      <c r="N96" s="8"/>
      <c r="O96" s="8"/>
      <c r="P96" s="8"/>
      <c r="Q96" s="8"/>
      <c r="R96" s="3"/>
    </row>
    <row r="97" spans="1:18" x14ac:dyDescent="0.2">
      <c r="A97" s="2"/>
      <c r="B97" s="5"/>
      <c r="C97" s="8"/>
      <c r="D97" s="4"/>
      <c r="E97" s="6"/>
      <c r="F97" s="8"/>
      <c r="G97" s="4"/>
      <c r="H97" s="7"/>
      <c r="I97" s="4"/>
      <c r="J97" s="8"/>
      <c r="K97" s="8"/>
      <c r="L97" s="7"/>
      <c r="M97" s="8"/>
      <c r="N97" s="8"/>
      <c r="O97" s="8"/>
      <c r="P97" s="8"/>
      <c r="Q97" s="8"/>
      <c r="R97" s="3"/>
    </row>
    <row r="98" spans="1:18" x14ac:dyDescent="0.2">
      <c r="A98" s="2"/>
      <c r="B98" s="5"/>
      <c r="C98" s="8"/>
      <c r="D98" s="4"/>
      <c r="E98" s="6"/>
      <c r="F98" s="8"/>
      <c r="G98" s="4"/>
      <c r="H98" s="7"/>
      <c r="I98" s="4"/>
      <c r="J98" s="8"/>
      <c r="K98" s="8"/>
      <c r="L98" s="7"/>
      <c r="M98" s="8"/>
      <c r="N98" s="8"/>
      <c r="O98" s="8"/>
      <c r="P98" s="8"/>
      <c r="Q98" s="8"/>
      <c r="R98" s="3"/>
    </row>
    <row r="99" spans="1:18" x14ac:dyDescent="0.2">
      <c r="A99" s="2"/>
      <c r="B99" s="5"/>
      <c r="C99" s="8"/>
      <c r="D99" s="4"/>
      <c r="E99" s="6"/>
      <c r="F99" s="8"/>
      <c r="G99" s="4"/>
      <c r="H99" s="7"/>
      <c r="I99" s="4"/>
      <c r="J99" s="8"/>
      <c r="K99" s="8"/>
      <c r="L99" s="7"/>
      <c r="M99" s="8"/>
      <c r="N99" s="8"/>
      <c r="O99" s="8"/>
      <c r="P99" s="8"/>
      <c r="Q99" s="8"/>
      <c r="R99" s="3"/>
    </row>
    <row r="100" spans="1:18" x14ac:dyDescent="0.2">
      <c r="A100" s="2"/>
      <c r="B100" s="5"/>
      <c r="C100" s="8"/>
      <c r="D100" s="4"/>
      <c r="E100" s="6"/>
      <c r="F100" s="8"/>
      <c r="G100" s="4"/>
      <c r="H100" s="7"/>
      <c r="I100" s="4"/>
      <c r="J100" s="8"/>
      <c r="K100" s="8"/>
      <c r="L100" s="7"/>
      <c r="M100" s="8"/>
      <c r="N100" s="8"/>
      <c r="O100" s="8"/>
      <c r="P100" s="8"/>
      <c r="Q100" s="8"/>
      <c r="R1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0C84-87B9-844D-A4B1-4489CC3DF85E}">
  <dimension ref="A1:V450"/>
  <sheetViews>
    <sheetView tabSelected="1" topLeftCell="C1" zoomScale="85" zoomScaleNormal="85" workbookViewId="0">
      <selection activeCell="C1" sqref="A1:XFD1"/>
    </sheetView>
  </sheetViews>
  <sheetFormatPr baseColWidth="10" defaultColWidth="11" defaultRowHeight="16" x14ac:dyDescent="0.2"/>
  <cols>
    <col min="1" max="1" width="37.6640625" style="1" bestFit="1" customWidth="1"/>
    <col min="2" max="4" width="10.83203125" style="1"/>
    <col min="5" max="8" width="14.33203125" style="1" customWidth="1"/>
    <col min="9" max="9" width="14" style="1" customWidth="1"/>
    <col min="10" max="10" width="10.5" style="1" customWidth="1"/>
    <col min="11" max="17" width="10.83203125" style="1"/>
    <col min="18" max="18" width="15.5" style="1" customWidth="1"/>
    <col min="19" max="22" width="10.83203125" style="1"/>
  </cols>
  <sheetData>
    <row r="1" spans="1:22" s="17" customFormat="1" ht="81" customHeight="1" x14ac:dyDescent="0.2">
      <c r="A1" s="17" t="s">
        <v>0</v>
      </c>
      <c r="B1" s="17" t="s">
        <v>1</v>
      </c>
      <c r="C1" s="45" t="s">
        <v>102</v>
      </c>
      <c r="D1" s="45" t="s">
        <v>103</v>
      </c>
      <c r="E1" s="46" t="s">
        <v>104</v>
      </c>
      <c r="F1" s="45" t="s">
        <v>105</v>
      </c>
      <c r="G1" s="45" t="s">
        <v>10</v>
      </c>
      <c r="H1" s="18" t="s">
        <v>87</v>
      </c>
      <c r="I1" s="18" t="s">
        <v>2</v>
      </c>
      <c r="J1" s="18" t="s">
        <v>3</v>
      </c>
      <c r="K1" s="45" t="s">
        <v>4</v>
      </c>
      <c r="L1" s="18" t="s">
        <v>5</v>
      </c>
      <c r="M1" s="18" t="s">
        <v>6</v>
      </c>
      <c r="N1" s="45" t="s">
        <v>106</v>
      </c>
      <c r="O1" s="45" t="s">
        <v>107</v>
      </c>
      <c r="P1" s="45" t="s">
        <v>108</v>
      </c>
      <c r="Q1" s="45" t="s">
        <v>109</v>
      </c>
      <c r="R1" s="19" t="s">
        <v>7</v>
      </c>
      <c r="S1" s="17" t="s">
        <v>8</v>
      </c>
      <c r="T1" s="17" t="s">
        <v>101</v>
      </c>
      <c r="U1" s="17" t="s">
        <v>9</v>
      </c>
      <c r="V1" s="17" t="s">
        <v>100</v>
      </c>
    </row>
    <row r="2" spans="1:22" x14ac:dyDescent="0.2">
      <c r="A2" s="2" t="s">
        <v>11</v>
      </c>
      <c r="B2" s="5">
        <v>2014</v>
      </c>
      <c r="C2" s="12">
        <v>2.44</v>
      </c>
      <c r="D2" s="4">
        <v>1.4613221570245438</v>
      </c>
      <c r="E2" s="9">
        <v>-6.971977592255341E-4</v>
      </c>
      <c r="F2" s="11">
        <v>1.0261</v>
      </c>
      <c r="G2" s="8">
        <v>136.6875</v>
      </c>
      <c r="H2" s="7">
        <v>-24.4615528300771</v>
      </c>
      <c r="I2" s="4">
        <v>590205.60493949999</v>
      </c>
      <c r="J2" s="11">
        <v>4.4903666666666666</v>
      </c>
      <c r="K2" s="11">
        <v>37.759099999999997</v>
      </c>
      <c r="L2" s="7">
        <v>1</v>
      </c>
      <c r="M2" s="8">
        <v>297.02809999999999</v>
      </c>
      <c r="N2" s="8">
        <v>12.66877942049414</v>
      </c>
      <c r="O2" s="8">
        <v>0.10486471449424581</v>
      </c>
      <c r="P2" s="8">
        <v>1.1300910977766306E-4</v>
      </c>
      <c r="Q2" s="8">
        <v>1.7759180581328724</v>
      </c>
      <c r="R2" s="3">
        <v>1.3929783630342869E-2</v>
      </c>
      <c r="S2" s="33">
        <v>-3.0915019181547123E-2</v>
      </c>
      <c r="T2" s="5">
        <v>47.2</v>
      </c>
      <c r="U2" s="34">
        <v>0.31237478333333329</v>
      </c>
      <c r="V2">
        <v>493.757329875312</v>
      </c>
    </row>
    <row r="3" spans="1:22" x14ac:dyDescent="0.2">
      <c r="A3" s="2" t="s">
        <v>11</v>
      </c>
      <c r="B3" s="5">
        <v>2015</v>
      </c>
      <c r="C3" s="12">
        <v>2.76</v>
      </c>
      <c r="D3" s="4">
        <v>0.36592609436266138</v>
      </c>
      <c r="E3" s="9">
        <v>1.1595912673541433E-2</v>
      </c>
      <c r="F3" s="11">
        <v>1.0212000000000001</v>
      </c>
      <c r="G3" s="8">
        <v>33.36</v>
      </c>
      <c r="H3" s="7">
        <v>-75.593964334705106</v>
      </c>
      <c r="I3" s="4">
        <v>690587.56632019999</v>
      </c>
      <c r="J3" s="11">
        <v>3.9</v>
      </c>
      <c r="K3" s="11">
        <v>36.137099999999997</v>
      </c>
      <c r="L3" s="7">
        <v>1</v>
      </c>
      <c r="M3" s="8">
        <v>301.14319999999998</v>
      </c>
      <c r="N3" s="8">
        <v>12.543593186060217</v>
      </c>
      <c r="O3" s="8">
        <v>0.10593395962439373</v>
      </c>
      <c r="P3" s="8">
        <v>1.0917120967255206E-4</v>
      </c>
      <c r="Q3" s="8">
        <v>1.3019274324866892</v>
      </c>
      <c r="R3" s="3">
        <v>1.6342351484245905E-2</v>
      </c>
      <c r="S3" s="33">
        <v>-1.4834801845660568E-2</v>
      </c>
      <c r="T3" s="5">
        <v>49.2</v>
      </c>
      <c r="U3" s="34">
        <v>0.24796339999999997</v>
      </c>
      <c r="V3">
        <v>591.21169798260996</v>
      </c>
    </row>
    <row r="4" spans="1:22" x14ac:dyDescent="0.2">
      <c r="A4" s="2" t="s">
        <v>11</v>
      </c>
      <c r="B4" s="5">
        <v>2016</v>
      </c>
      <c r="C4" s="12">
        <v>3.5</v>
      </c>
      <c r="D4" s="4">
        <v>1.2414781969435418</v>
      </c>
      <c r="E4" s="9">
        <v>5.4264125816363617E-3</v>
      </c>
      <c r="F4" s="11">
        <v>1.0627</v>
      </c>
      <c r="G4" s="8">
        <v>33.479999999999997</v>
      </c>
      <c r="H4" s="7">
        <v>0.35971223021581999</v>
      </c>
      <c r="I4" s="4">
        <v>512108.03294439998</v>
      </c>
      <c r="J4" s="11">
        <v>4.4000000000000004</v>
      </c>
      <c r="K4" s="11">
        <v>40.427199999999999</v>
      </c>
      <c r="L4" s="7">
        <v>1</v>
      </c>
      <c r="M4" s="8">
        <v>241.67420000000001</v>
      </c>
      <c r="N4" s="8">
        <v>12.510878753699711</v>
      </c>
      <c r="O4" s="8">
        <v>0.11426064554866769</v>
      </c>
      <c r="P4" s="8">
        <v>1.1833124282699784E-4</v>
      </c>
      <c r="Q4" s="8">
        <v>0.83286314363298797</v>
      </c>
      <c r="R4" s="3">
        <v>1.5742142959966281E-2</v>
      </c>
      <c r="S4" s="33">
        <v>3.0077789031008589E-2</v>
      </c>
      <c r="T4" s="5">
        <v>45</v>
      </c>
      <c r="U4" s="34">
        <v>0.3312161666666667</v>
      </c>
      <c r="V4">
        <v>592.60561506302201</v>
      </c>
    </row>
    <row r="5" spans="1:22" x14ac:dyDescent="0.2">
      <c r="A5" s="2" t="s">
        <v>11</v>
      </c>
      <c r="B5" s="5">
        <v>2017</v>
      </c>
      <c r="C5" s="12">
        <v>4.05</v>
      </c>
      <c r="D5" s="4">
        <v>-0.81049855037146989</v>
      </c>
      <c r="E5" s="9">
        <v>2.5179084774210297E-2</v>
      </c>
      <c r="F5" s="11">
        <v>1.1194999999999999</v>
      </c>
      <c r="G5" s="8">
        <v>36.840000000000003</v>
      </c>
      <c r="H5" s="7">
        <v>10.0358422939068</v>
      </c>
      <c r="I5" s="4">
        <v>529989.21168209997</v>
      </c>
      <c r="J5" s="11">
        <v>3.9323999999999999</v>
      </c>
      <c r="K5" s="11">
        <v>42</v>
      </c>
      <c r="L5" s="7">
        <v>1</v>
      </c>
      <c r="M5" s="8">
        <v>217.45939999999999</v>
      </c>
      <c r="N5" s="8">
        <v>12.622769141475294</v>
      </c>
      <c r="O5" s="8">
        <v>4.5572204732365409E-2</v>
      </c>
      <c r="P5" s="8">
        <v>1.3415146654465631E-4</v>
      </c>
      <c r="Q5" s="8">
        <v>0.64070014275564036</v>
      </c>
      <c r="R5" s="3">
        <v>1.373532095388298E-2</v>
      </c>
      <c r="S5" s="33">
        <v>0.10400088774297593</v>
      </c>
      <c r="T5" s="5">
        <v>44.4</v>
      </c>
      <c r="U5" s="34">
        <v>0.30180815833333335</v>
      </c>
      <c r="V5">
        <v>580.65674958785803</v>
      </c>
    </row>
    <row r="6" spans="1:22" x14ac:dyDescent="0.2">
      <c r="A6" s="2" t="s">
        <v>11</v>
      </c>
      <c r="B6" s="5">
        <v>2018</v>
      </c>
      <c r="C6" s="12">
        <v>4.42</v>
      </c>
      <c r="D6" s="4">
        <v>2.3784344637560104</v>
      </c>
      <c r="E6" s="9">
        <v>-9.6700883012690846E-3</v>
      </c>
      <c r="F6" s="11">
        <v>1.0825</v>
      </c>
      <c r="G6" s="8">
        <v>59.45</v>
      </c>
      <c r="H6" s="7">
        <v>61.373507057546099</v>
      </c>
      <c r="I6" s="4">
        <v>687623.44415520004</v>
      </c>
      <c r="J6" s="11">
        <v>4.1749000000000001</v>
      </c>
      <c r="K6" s="11">
        <v>44.185099999999998</v>
      </c>
      <c r="L6" s="7">
        <v>1</v>
      </c>
      <c r="M6" s="8">
        <v>159.05549999999999</v>
      </c>
      <c r="N6" s="8">
        <v>12.619984095981765</v>
      </c>
      <c r="O6" s="8">
        <v>4.8507905571119142E-2</v>
      </c>
      <c r="P6" s="8">
        <v>1.2196547501814227E-4</v>
      </c>
      <c r="Q6" s="8">
        <v>0.60742729791625971</v>
      </c>
      <c r="R6" s="3">
        <v>1.2398244471367524E-2</v>
      </c>
      <c r="S6" s="33">
        <v>0.11043420027417027</v>
      </c>
      <c r="T6" s="5">
        <v>44.1</v>
      </c>
      <c r="U6" s="34">
        <v>0.21956370000000003</v>
      </c>
      <c r="V6">
        <v>555.44645839822601</v>
      </c>
    </row>
    <row r="7" spans="1:22" x14ac:dyDescent="0.2">
      <c r="A7" s="2" t="s">
        <v>11</v>
      </c>
      <c r="B7" s="5">
        <v>2019</v>
      </c>
      <c r="C7" s="12">
        <v>4.62</v>
      </c>
      <c r="D7" s="4">
        <v>3.223548194121026</v>
      </c>
      <c r="E7" s="9">
        <v>-1.9926390226005949E-2</v>
      </c>
      <c r="F7" s="11">
        <v>1.1351</v>
      </c>
      <c r="G7" s="8">
        <v>30.904</v>
      </c>
      <c r="H7" s="7">
        <v>-48.016820857863799</v>
      </c>
      <c r="I7" s="4">
        <v>583436.21282100002</v>
      </c>
      <c r="J7" s="11">
        <v>4.2769000000000004</v>
      </c>
      <c r="K7" s="11">
        <v>47.729700000000001</v>
      </c>
      <c r="L7" s="7">
        <v>1</v>
      </c>
      <c r="M7" s="8">
        <v>76.486999999999995</v>
      </c>
      <c r="N7" s="8">
        <v>12.605328818029115</v>
      </c>
      <c r="O7" s="8">
        <v>4.413325517590487E-2</v>
      </c>
      <c r="P7" s="8">
        <v>1.2477230312465064E-4</v>
      </c>
      <c r="Q7" s="8">
        <v>0.56269337478270642</v>
      </c>
      <c r="R7" s="3">
        <v>1.1195042617410531E-2</v>
      </c>
      <c r="S7" s="33">
        <v>7.3452735650900214E-2</v>
      </c>
      <c r="T7" s="5">
        <v>43</v>
      </c>
      <c r="U7" s="34">
        <v>0.13867664166666668</v>
      </c>
      <c r="V7">
        <v>585.91101318036897</v>
      </c>
    </row>
    <row r="8" spans="1:22" x14ac:dyDescent="0.2">
      <c r="A8" s="2" t="s">
        <v>11</v>
      </c>
      <c r="B8" s="5">
        <v>2020</v>
      </c>
      <c r="C8" s="4">
        <v>4.09</v>
      </c>
      <c r="D8" s="4">
        <v>4.0444044657057665</v>
      </c>
      <c r="E8" s="9">
        <v>-1.4584298612377094E-2</v>
      </c>
      <c r="F8" s="4">
        <v>1.1140000000000001</v>
      </c>
      <c r="G8" s="4">
        <v>39.610999999999997</v>
      </c>
      <c r="H8" s="7">
        <v>28.1743463629304</v>
      </c>
      <c r="I8" s="4">
        <v>561849.06383760006</v>
      </c>
      <c r="J8" s="4">
        <v>4.6125999999999996</v>
      </c>
      <c r="K8" s="4">
        <v>42.377899999999997</v>
      </c>
      <c r="L8" s="7">
        <v>1</v>
      </c>
      <c r="M8" s="4">
        <v>52.574300000000001</v>
      </c>
      <c r="N8" s="4">
        <v>12.526136759286265</v>
      </c>
      <c r="O8" s="4">
        <v>5.2602033497951659E-2</v>
      </c>
      <c r="P8" s="7">
        <v>1.4739880393204244E-4</v>
      </c>
      <c r="Q8" s="4">
        <v>0.48378781930954656</v>
      </c>
      <c r="R8" s="3">
        <v>1.099291512235809E-2</v>
      </c>
      <c r="S8" s="33">
        <v>-8.0002386939810141E-2</v>
      </c>
      <c r="T8" s="5">
        <v>42.9</v>
      </c>
      <c r="U8" s="34">
        <v>0.15699912500000002</v>
      </c>
      <c r="V8">
        <v>575.58600451094503</v>
      </c>
    </row>
    <row r="9" spans="1:22" x14ac:dyDescent="0.2">
      <c r="A9" s="2" t="s">
        <v>11</v>
      </c>
      <c r="B9" s="5">
        <v>2021</v>
      </c>
      <c r="C9" s="4">
        <v>5.04</v>
      </c>
      <c r="D9" s="4">
        <v>0.85718853919274951</v>
      </c>
      <c r="E9" s="9">
        <v>4.0621345700395869E-3</v>
      </c>
      <c r="F9" s="4">
        <v>1.1464000000000001</v>
      </c>
      <c r="G9" s="4">
        <v>45.539000000000001</v>
      </c>
      <c r="H9" s="7">
        <v>14.965539875287201</v>
      </c>
      <c r="I9" s="4">
        <v>495721.91130320006</v>
      </c>
      <c r="J9" s="4">
        <v>4.8708999999999998</v>
      </c>
      <c r="K9" s="4">
        <v>43.9711</v>
      </c>
      <c r="L9" s="7">
        <v>1</v>
      </c>
      <c r="M9" s="4">
        <v>58.310699999999997</v>
      </c>
      <c r="N9" s="4">
        <v>12.40337285181533</v>
      </c>
      <c r="O9" s="4">
        <v>5.784771084602832E-2</v>
      </c>
      <c r="P9" s="7">
        <v>1.3627672785817389E-4</v>
      </c>
      <c r="Q9" s="4">
        <v>0.27480369254005144</v>
      </c>
      <c r="R9" s="3">
        <v>1.207578611095686E-2</v>
      </c>
      <c r="S9" s="33">
        <v>1.0212251572429743E-2</v>
      </c>
      <c r="T9" s="5">
        <v>43.4</v>
      </c>
      <c r="U9" s="34">
        <v>0.20469052499999998</v>
      </c>
      <c r="V9">
        <v>554.53067503310399</v>
      </c>
    </row>
    <row r="10" spans="1:22" x14ac:dyDescent="0.2">
      <c r="A10" s="2" t="s">
        <v>11</v>
      </c>
      <c r="B10" s="5">
        <v>2022</v>
      </c>
      <c r="C10" s="4">
        <v>5.43</v>
      </c>
      <c r="D10" s="4">
        <v>0.37835444970758542</v>
      </c>
      <c r="E10" s="9">
        <v>6.9358766477476278E-3</v>
      </c>
      <c r="F10" s="4">
        <v>1.1382000000000001</v>
      </c>
      <c r="G10" s="4">
        <v>50.446199999999997</v>
      </c>
      <c r="H10" s="7">
        <v>10.775818529172801</v>
      </c>
      <c r="I10" s="4">
        <v>457654.11371909996</v>
      </c>
      <c r="J10" s="4">
        <v>5.0744999999999996</v>
      </c>
      <c r="K10" s="4">
        <v>47.0749</v>
      </c>
      <c r="L10" s="7">
        <v>1</v>
      </c>
      <c r="M10" s="4">
        <v>53.538200000000003</v>
      </c>
      <c r="N10" s="4">
        <v>12.489047796537172</v>
      </c>
      <c r="O10" s="4">
        <v>5.4084596039359119E-2</v>
      </c>
      <c r="P10" s="7">
        <v>1.0963985353969274E-4</v>
      </c>
      <c r="Q10" s="4">
        <v>0.24291844532964926</v>
      </c>
      <c r="R10" s="3">
        <v>1.1556179966399767E-2</v>
      </c>
      <c r="S10" s="33">
        <v>-2.0229648711727066E-2</v>
      </c>
      <c r="T10" s="5">
        <v>44.8</v>
      </c>
      <c r="U10" s="34">
        <v>0.23766538333333329</v>
      </c>
      <c r="V10">
        <v>623.75970091118199</v>
      </c>
    </row>
    <row r="11" spans="1:22" x14ac:dyDescent="0.2">
      <c r="A11" s="5"/>
      <c r="B11" s="5"/>
      <c r="C11" s="10"/>
      <c r="D11" s="10"/>
      <c r="E11" s="14"/>
      <c r="F11" s="10"/>
      <c r="G11" s="10"/>
      <c r="H11" s="7"/>
      <c r="I11" s="10"/>
      <c r="J11" s="10"/>
      <c r="K11" s="10"/>
      <c r="L11" s="10"/>
      <c r="M11" s="10"/>
      <c r="N11" s="10"/>
      <c r="O11" s="10"/>
      <c r="P11" s="7"/>
      <c r="Q11" s="10"/>
      <c r="R11" s="20"/>
      <c r="S11" s="5"/>
      <c r="T11" s="5"/>
      <c r="U11" s="5"/>
      <c r="V11" s="5"/>
    </row>
    <row r="12" spans="1:22" x14ac:dyDescent="0.2">
      <c r="A12" s="2" t="s">
        <v>12</v>
      </c>
      <c r="B12" s="5">
        <v>2014</v>
      </c>
      <c r="C12" s="8">
        <v>4.9383341225013986</v>
      </c>
      <c r="D12" s="4">
        <v>2.1617147789921063</v>
      </c>
      <c r="E12" s="9">
        <v>-7.7048899265185341E-3</v>
      </c>
      <c r="F12" s="8">
        <v>1.1232</v>
      </c>
      <c r="G12" s="4">
        <f>850849+539916+1711620+678</f>
        <v>3103063</v>
      </c>
      <c r="H12" s="7">
        <v>-3.8573995302338</v>
      </c>
      <c r="I12" s="4">
        <v>4274169.924172</v>
      </c>
      <c r="J12" s="8">
        <v>3.3033000000000001</v>
      </c>
      <c r="K12" s="8">
        <v>37.508000000000003</v>
      </c>
      <c r="L12" s="7">
        <v>1</v>
      </c>
      <c r="M12" s="8">
        <v>91.374200000000002</v>
      </c>
      <c r="N12" s="8">
        <v>14.808652356409057</v>
      </c>
      <c r="O12" s="8">
        <v>3.3207434574749645E-2</v>
      </c>
      <c r="P12" s="11">
        <v>1281.3807785888077</v>
      </c>
      <c r="Q12" s="8">
        <v>0.63194965614204834</v>
      </c>
      <c r="R12" s="3">
        <v>9.3763242183902574E-3</v>
      </c>
      <c r="S12" s="33">
        <v>-3.0915019181547123E-2</v>
      </c>
      <c r="T12" s="5">
        <v>47.2</v>
      </c>
      <c r="U12" s="34">
        <v>0.31237478333333329</v>
      </c>
      <c r="V12">
        <v>493.757329875312</v>
      </c>
    </row>
    <row r="13" spans="1:22" x14ac:dyDescent="0.2">
      <c r="A13" s="2" t="s">
        <v>12</v>
      </c>
      <c r="B13" s="5">
        <v>2015</v>
      </c>
      <c r="C13" s="8">
        <v>4.2260690884085461</v>
      </c>
      <c r="D13" s="4">
        <v>2.081928728312672</v>
      </c>
      <c r="E13" s="9">
        <v>-4.5587695450880657E-3</v>
      </c>
      <c r="F13" s="8">
        <v>1.0354000000000001</v>
      </c>
      <c r="G13" s="4">
        <f>1084884+607349+1839229+1778</f>
        <v>3533240</v>
      </c>
      <c r="H13" s="7">
        <v>13.862979900827021</v>
      </c>
      <c r="I13" s="4">
        <v>5899568.4606374996</v>
      </c>
      <c r="J13" s="8">
        <v>3.2381000000000002</v>
      </c>
      <c r="K13" s="8">
        <v>35.5991</v>
      </c>
      <c r="L13" s="7">
        <v>1</v>
      </c>
      <c r="M13" s="8">
        <v>88.59</v>
      </c>
      <c r="N13" s="8">
        <v>14.83591232822454</v>
      </c>
      <c r="O13" s="8">
        <v>3.5331658582548484E-2</v>
      </c>
      <c r="P13" s="11">
        <v>1081.5564650388458</v>
      </c>
      <c r="Q13" s="8">
        <v>0.67363383971554835</v>
      </c>
      <c r="R13" s="3">
        <v>9.6968286300745041E-3</v>
      </c>
      <c r="S13" s="33">
        <v>-1.4834801845660568E-2</v>
      </c>
      <c r="T13" s="5">
        <v>49.2</v>
      </c>
      <c r="U13" s="34">
        <v>0.24796339999999997</v>
      </c>
      <c r="V13">
        <v>591.21169798260996</v>
      </c>
    </row>
    <row r="14" spans="1:22" x14ac:dyDescent="0.2">
      <c r="A14" s="2" t="s">
        <v>12</v>
      </c>
      <c r="B14" s="5">
        <v>2016</v>
      </c>
      <c r="C14" s="8">
        <v>4.1206986124417373</v>
      </c>
      <c r="D14" s="4">
        <v>1.833334868561465</v>
      </c>
      <c r="E14" s="9">
        <v>-2.3158896838716637E-4</v>
      </c>
      <c r="F14" s="8">
        <v>1.0630999999999999</v>
      </c>
      <c r="G14" s="4">
        <f>1230987+678773+1956464+4044+104</f>
        <v>3870372</v>
      </c>
      <c r="H14" s="7">
        <v>9.5417237436460596</v>
      </c>
      <c r="I14" s="4">
        <v>5759338.0500940001</v>
      </c>
      <c r="J14" s="8">
        <v>3.3064</v>
      </c>
      <c r="K14" s="8">
        <v>38.729500000000002</v>
      </c>
      <c r="L14" s="7">
        <v>1</v>
      </c>
      <c r="M14" s="8">
        <v>65.321299999999994</v>
      </c>
      <c r="N14" s="8">
        <v>14.884701979610673</v>
      </c>
      <c r="O14" s="8">
        <v>3.9894373557609365E-2</v>
      </c>
      <c r="P14" s="11">
        <v>1131.1220002793686</v>
      </c>
      <c r="Q14" s="8">
        <v>0.5744805102735252</v>
      </c>
      <c r="R14" s="3">
        <v>9.5695303653808763E-3</v>
      </c>
      <c r="S14" s="33">
        <v>3.0077789031008589E-2</v>
      </c>
      <c r="T14" s="5">
        <v>45</v>
      </c>
      <c r="U14" s="34">
        <v>0.3312161666666667</v>
      </c>
      <c r="V14">
        <v>592.60561506302201</v>
      </c>
    </row>
    <row r="15" spans="1:22" x14ac:dyDescent="0.2">
      <c r="A15" s="2" t="s">
        <v>12</v>
      </c>
      <c r="B15" s="5">
        <v>2017</v>
      </c>
      <c r="C15" s="8">
        <v>3.6251046375725329</v>
      </c>
      <c r="D15" s="4">
        <v>4.7324443495076283</v>
      </c>
      <c r="E15" s="9">
        <v>-3.8916752633122727E-2</v>
      </c>
      <c r="F15" s="8">
        <v>1.0482</v>
      </c>
      <c r="G15" s="4">
        <f>1272731+622365+2084536+11905+706</f>
        <v>3992243</v>
      </c>
      <c r="H15" s="7">
        <v>3.1488187698753509</v>
      </c>
      <c r="I15" s="4">
        <v>6556101.4215280004</v>
      </c>
      <c r="J15" s="8">
        <v>3.2700999999999998</v>
      </c>
      <c r="K15" s="8">
        <v>42.320799999999998</v>
      </c>
      <c r="L15" s="7">
        <v>1</v>
      </c>
      <c r="M15" s="8">
        <v>57.961300000000001</v>
      </c>
      <c r="N15" s="8">
        <v>14.922101605180524</v>
      </c>
      <c r="O15" s="8">
        <v>4.4227171236669263E-2</v>
      </c>
      <c r="P15" s="11">
        <v>1252.2153468385513</v>
      </c>
      <c r="Q15" s="8">
        <v>0.61309644304031474</v>
      </c>
      <c r="R15" s="3">
        <v>9.7241246298092384E-3</v>
      </c>
      <c r="S15" s="33">
        <v>0.10400088774297593</v>
      </c>
      <c r="T15" s="5">
        <v>44.4</v>
      </c>
      <c r="U15" s="34">
        <v>0.30180815833333335</v>
      </c>
      <c r="V15">
        <v>580.65674958785803</v>
      </c>
    </row>
    <row r="16" spans="1:22" x14ac:dyDescent="0.2">
      <c r="A16" s="2" t="s">
        <v>12</v>
      </c>
      <c r="B16" s="5">
        <v>2018</v>
      </c>
      <c r="C16" s="8">
        <v>3.2467671165197998</v>
      </c>
      <c r="D16" s="4">
        <v>0.39383128876610535</v>
      </c>
      <c r="E16" s="9">
        <v>1.1473861375985363E-2</v>
      </c>
      <c r="F16" s="8">
        <v>1.0229999999999999</v>
      </c>
      <c r="G16" s="4">
        <f>1193247+560999+2310489+7205+56</f>
        <v>4071996</v>
      </c>
      <c r="H16" s="7">
        <v>1.9976990378591681</v>
      </c>
      <c r="I16" s="4">
        <v>7038920.82785</v>
      </c>
      <c r="J16" s="8">
        <v>3.2477</v>
      </c>
      <c r="K16" s="8">
        <v>46.779499999999999</v>
      </c>
      <c r="L16" s="7">
        <v>1</v>
      </c>
      <c r="M16" s="8">
        <v>69.303600000000003</v>
      </c>
      <c r="N16" s="8">
        <v>14.97469715345755</v>
      </c>
      <c r="O16" s="8">
        <v>4.8245589824349781E-2</v>
      </c>
      <c r="P16" s="11">
        <v>1456.6972329571806</v>
      </c>
      <c r="Q16" s="8">
        <v>0.66156053399199788</v>
      </c>
      <c r="R16" s="3">
        <v>9.9117035093171536E-3</v>
      </c>
      <c r="S16" s="33">
        <v>0.11043420027417027</v>
      </c>
      <c r="T16" s="5">
        <v>44.1</v>
      </c>
      <c r="U16" s="34">
        <v>0.21956370000000003</v>
      </c>
      <c r="V16">
        <v>555.44645839822601</v>
      </c>
    </row>
    <row r="17" spans="1:22" x14ac:dyDescent="0.2">
      <c r="A17" s="2" t="s">
        <v>12</v>
      </c>
      <c r="B17" s="5">
        <v>2019</v>
      </c>
      <c r="C17" s="8">
        <v>3.3398651126649934</v>
      </c>
      <c r="D17" s="4">
        <v>0.21337595631145287</v>
      </c>
      <c r="E17" s="9">
        <v>1.1972090460540912E-2</v>
      </c>
      <c r="F17" s="8">
        <v>1.0046999999999999</v>
      </c>
      <c r="G17" s="4">
        <f>1973372+2162180+9005+103</f>
        <v>4144660</v>
      </c>
      <c r="H17" s="7">
        <v>1.7844811242447194</v>
      </c>
      <c r="I17" s="4">
        <v>8521067.0417569019</v>
      </c>
      <c r="J17" s="8">
        <v>3.3641999999999999</v>
      </c>
      <c r="K17" s="8">
        <v>42.475499999999997</v>
      </c>
      <c r="L17" s="7">
        <v>1</v>
      </c>
      <c r="M17" s="8">
        <v>58.778300000000002</v>
      </c>
      <c r="N17" s="8">
        <v>14.901964674353389</v>
      </c>
      <c r="O17" s="8">
        <v>5.4060527384529718E-2</v>
      </c>
      <c r="P17" s="11">
        <v>1598.6288064461978</v>
      </c>
      <c r="Q17" s="8">
        <v>0.60055048077972661</v>
      </c>
      <c r="R17" s="3">
        <v>9.7886618251840918E-3</v>
      </c>
      <c r="S17" s="33">
        <v>7.3452735650900214E-2</v>
      </c>
      <c r="T17" s="5">
        <v>43</v>
      </c>
      <c r="U17" s="34">
        <v>0.13867664166666668</v>
      </c>
      <c r="V17">
        <v>585.91101318036897</v>
      </c>
    </row>
    <row r="18" spans="1:22" x14ac:dyDescent="0.2">
      <c r="A18" s="2" t="s">
        <v>12</v>
      </c>
      <c r="B18" s="5">
        <v>2020</v>
      </c>
      <c r="C18" s="8">
        <v>2.2980234282591452</v>
      </c>
      <c r="D18" s="4">
        <v>2.1288850559288663</v>
      </c>
      <c r="E18" s="9">
        <v>9.9277313272335826E-3</v>
      </c>
      <c r="F18" s="8">
        <v>0.96509999999999996</v>
      </c>
      <c r="G18" s="4">
        <f>1823315+1952029+12724+195</f>
        <v>3788263</v>
      </c>
      <c r="H18" s="7">
        <v>-8.5989441836001017</v>
      </c>
      <c r="I18" s="4">
        <v>10146269.152953099</v>
      </c>
      <c r="J18" s="8">
        <v>18.438400000000001</v>
      </c>
      <c r="K18" s="8">
        <v>44.4129</v>
      </c>
      <c r="L18" s="7">
        <v>1</v>
      </c>
      <c r="M18" s="8">
        <v>67.766599999999997</v>
      </c>
      <c r="N18" s="8">
        <v>15.002861029306747</v>
      </c>
      <c r="O18" s="8">
        <v>6.143495646811338E-2</v>
      </c>
      <c r="P18" s="11">
        <v>1725.6531751336897</v>
      </c>
      <c r="Q18" s="8">
        <v>0.63402086117331025</v>
      </c>
      <c r="R18" s="3">
        <v>9.3773627463861007E-3</v>
      </c>
      <c r="S18" s="33">
        <v>-8.0002386939810141E-2</v>
      </c>
      <c r="T18" s="5">
        <v>42.9</v>
      </c>
      <c r="U18" s="34">
        <v>0.15699912500000002</v>
      </c>
      <c r="V18">
        <v>575.58600451094503</v>
      </c>
    </row>
    <row r="19" spans="1:22" x14ac:dyDescent="0.2">
      <c r="A19" s="2" t="s">
        <v>12</v>
      </c>
      <c r="B19" s="5">
        <v>2021</v>
      </c>
      <c r="C19" s="8">
        <v>2.7941816522672691</v>
      </c>
      <c r="D19" s="4">
        <v>3.2324388847725483</v>
      </c>
      <c r="E19" s="9">
        <v>-1.2085244406395636E-2</v>
      </c>
      <c r="F19" s="8">
        <v>0.99709999999999999</v>
      </c>
      <c r="G19" s="4">
        <v>3554048</v>
      </c>
      <c r="H19" s="7">
        <v>-6.182648881558646</v>
      </c>
      <c r="I19" s="4">
        <v>10911547.644215999</v>
      </c>
      <c r="J19" s="8">
        <v>17.0425</v>
      </c>
      <c r="K19" s="8">
        <v>42.431199999999997</v>
      </c>
      <c r="L19" s="7">
        <v>1</v>
      </c>
      <c r="M19" s="8">
        <v>60.194000000000003</v>
      </c>
      <c r="N19" s="8">
        <v>15.013836920499051</v>
      </c>
      <c r="O19" s="8">
        <v>6.5350811791345789E-2</v>
      </c>
      <c r="P19" s="11">
        <v>1520.5307297949337</v>
      </c>
      <c r="Q19" s="8">
        <v>0.38469999167746044</v>
      </c>
      <c r="R19" s="3">
        <v>9.3895434745421714E-3</v>
      </c>
      <c r="S19" s="33">
        <v>1.0212251572429743E-2</v>
      </c>
      <c r="T19" s="5">
        <v>43.4</v>
      </c>
      <c r="U19" s="34">
        <v>0.20469052499999998</v>
      </c>
      <c r="V19">
        <v>554.53067503310399</v>
      </c>
    </row>
    <row r="20" spans="1:22" x14ac:dyDescent="0.2">
      <c r="A20" s="2" t="s">
        <v>12</v>
      </c>
      <c r="B20" s="5">
        <v>2022</v>
      </c>
      <c r="C20" s="8">
        <v>2.8661401586785984</v>
      </c>
      <c r="D20" s="4">
        <v>4.4172787131212088</v>
      </c>
      <c r="E20" s="9">
        <v>-2.6111101484955757E-2</v>
      </c>
      <c r="F20" s="8">
        <v>0.9708</v>
      </c>
      <c r="G20" s="4">
        <v>3698284</v>
      </c>
      <c r="H20" s="7">
        <v>4.0583582438954116</v>
      </c>
      <c r="I20" s="4">
        <v>9532906.6691851988</v>
      </c>
      <c r="J20" s="8">
        <v>3.2734999999999999</v>
      </c>
      <c r="K20" s="8">
        <v>45.329000000000001</v>
      </c>
      <c r="L20" s="7">
        <v>1</v>
      </c>
      <c r="M20" s="8">
        <v>56.743699999999997</v>
      </c>
      <c r="N20" s="8">
        <v>15.055174489450048</v>
      </c>
      <c r="O20" s="8">
        <v>6.2121932895674463E-2</v>
      </c>
      <c r="P20" s="11">
        <v>1368.0828314997104</v>
      </c>
      <c r="Q20" s="8">
        <v>0.37917094704408449</v>
      </c>
      <c r="R20" s="3">
        <v>9.3776404590600725E-3</v>
      </c>
      <c r="S20" s="33">
        <v>-2.0229648711727066E-2</v>
      </c>
      <c r="T20" s="5">
        <v>44.8</v>
      </c>
      <c r="U20" s="34">
        <v>0.23766538333333329</v>
      </c>
      <c r="V20">
        <v>623.75970091118199</v>
      </c>
    </row>
    <row r="21" spans="1:22" x14ac:dyDescent="0.2">
      <c r="A21" s="5"/>
      <c r="B21" s="5"/>
      <c r="C21" s="8"/>
      <c r="D21" s="10"/>
      <c r="E21" s="9"/>
      <c r="F21" s="8"/>
      <c r="G21" s="4"/>
      <c r="H21" s="7"/>
      <c r="I21" s="4"/>
      <c r="J21" s="8"/>
      <c r="K21" s="8"/>
      <c r="L21" s="7"/>
      <c r="M21" s="8"/>
      <c r="N21" s="8"/>
      <c r="O21" s="8"/>
      <c r="P21" s="11"/>
      <c r="Q21" s="8"/>
      <c r="R21" s="3"/>
      <c r="S21" s="5"/>
      <c r="T21" s="5"/>
      <c r="U21" s="5"/>
      <c r="V21" s="5"/>
    </row>
    <row r="22" spans="1:22" x14ac:dyDescent="0.2">
      <c r="A22" s="2" t="s">
        <v>13</v>
      </c>
      <c r="B22" s="5">
        <v>2014</v>
      </c>
      <c r="C22" s="8">
        <v>4.8623257454748758</v>
      </c>
      <c r="D22" s="4">
        <v>0.81943775215781889</v>
      </c>
      <c r="E22" s="6">
        <v>4.5544289683260445E-3</v>
      </c>
      <c r="F22" s="8">
        <v>1.0169999999999999</v>
      </c>
      <c r="G22" s="4">
        <v>1307580</v>
      </c>
      <c r="H22" s="7">
        <v>24.868573720473851</v>
      </c>
      <c r="I22" s="4">
        <v>4504692.6848758003</v>
      </c>
      <c r="J22" s="8">
        <v>2.5206</v>
      </c>
      <c r="K22" s="8">
        <v>43.388300000000001</v>
      </c>
      <c r="L22" s="7">
        <v>1</v>
      </c>
      <c r="M22" s="8">
        <v>89.660600000000002</v>
      </c>
      <c r="N22" s="8">
        <v>14.83070143219096</v>
      </c>
      <c r="O22" s="8">
        <v>5.1906347950905096E-2</v>
      </c>
      <c r="P22" s="11">
        <v>1818.1978406326034</v>
      </c>
      <c r="Q22" s="8">
        <v>0.99065716490065092</v>
      </c>
      <c r="R22" s="3">
        <v>8.6597385075707564E-3</v>
      </c>
      <c r="S22" s="33">
        <v>-3.0915019181547123E-2</v>
      </c>
      <c r="T22" s="5">
        <v>47.2</v>
      </c>
      <c r="U22" s="34">
        <v>0.31237478333333329</v>
      </c>
      <c r="V22">
        <v>493.757329875312</v>
      </c>
    </row>
    <row r="23" spans="1:22" x14ac:dyDescent="0.2">
      <c r="A23" s="2" t="s">
        <v>13</v>
      </c>
      <c r="B23" s="5">
        <v>2015</v>
      </c>
      <c r="C23" s="8">
        <v>4.4515815317576832</v>
      </c>
      <c r="D23" s="4">
        <v>1.0380409395892276</v>
      </c>
      <c r="E23" s="6">
        <v>1.88037211736529E-3</v>
      </c>
      <c r="F23" s="8">
        <v>0.97509999999999997</v>
      </c>
      <c r="G23" s="4">
        <v>1740787</v>
      </c>
      <c r="H23" s="7">
        <v>33.130439437739945</v>
      </c>
      <c r="I23" s="4">
        <v>5622644.0835801</v>
      </c>
      <c r="J23" s="8">
        <v>2.2927</v>
      </c>
      <c r="K23" s="8">
        <v>42.235999999999997</v>
      </c>
      <c r="L23" s="7">
        <v>1</v>
      </c>
      <c r="M23" s="8">
        <v>76.766400000000004</v>
      </c>
      <c r="N23" s="8">
        <v>14.85785303657301</v>
      </c>
      <c r="O23" s="8">
        <v>5.6069274238622326E-2</v>
      </c>
      <c r="P23" s="11">
        <v>1700.8730854605994</v>
      </c>
      <c r="Q23" s="8">
        <v>1.080899106012333</v>
      </c>
      <c r="R23" s="3">
        <v>8.9410389078016499E-3</v>
      </c>
      <c r="S23" s="33">
        <v>-1.4834801845660568E-2</v>
      </c>
      <c r="T23" s="5">
        <v>49.2</v>
      </c>
      <c r="U23" s="34">
        <v>0.24796339999999997</v>
      </c>
      <c r="V23">
        <v>591.21169798260996</v>
      </c>
    </row>
    <row r="24" spans="1:22" x14ac:dyDescent="0.2">
      <c r="A24" s="2" t="s">
        <v>13</v>
      </c>
      <c r="B24" s="5">
        <v>2016</v>
      </c>
      <c r="C24" s="8">
        <v>4.0565144501323056</v>
      </c>
      <c r="D24" s="4">
        <v>0.7765437487061414</v>
      </c>
      <c r="E24" s="6">
        <v>7.5562586555534229E-3</v>
      </c>
      <c r="F24" s="8">
        <v>0.97470000000000001</v>
      </c>
      <c r="G24" s="4">
        <v>1858965</v>
      </c>
      <c r="H24" s="7">
        <v>6.7887685282576218</v>
      </c>
      <c r="I24" s="4">
        <v>6884198.0926398002</v>
      </c>
      <c r="J24" s="8">
        <v>2.4771000000000001</v>
      </c>
      <c r="K24" s="8">
        <v>47.255899999999997</v>
      </c>
      <c r="L24" s="7">
        <v>1</v>
      </c>
      <c r="M24" s="8">
        <v>74.184799999999996</v>
      </c>
      <c r="N24" s="8">
        <v>14.895357809113706</v>
      </c>
      <c r="O24" s="8">
        <v>6.1810985973839473E-2</v>
      </c>
      <c r="P24" s="11">
        <v>1851.1320575499369</v>
      </c>
      <c r="Q24" s="8">
        <v>0.97261531142830127</v>
      </c>
      <c r="R24" s="3">
        <v>8.9139597234098988E-3</v>
      </c>
      <c r="S24" s="33">
        <v>3.0077789031008589E-2</v>
      </c>
      <c r="T24" s="5">
        <v>45</v>
      </c>
      <c r="U24" s="34">
        <v>0.3312161666666667</v>
      </c>
      <c r="V24">
        <v>592.60561506302201</v>
      </c>
    </row>
    <row r="25" spans="1:22" x14ac:dyDescent="0.2">
      <c r="A25" s="2" t="s">
        <v>13</v>
      </c>
      <c r="B25" s="5">
        <v>2017</v>
      </c>
      <c r="C25" s="8">
        <v>4.0484937529212015</v>
      </c>
      <c r="D25" s="4">
        <v>-3.5522444395575028</v>
      </c>
      <c r="E25" s="6">
        <v>4.4923444299367399E-2</v>
      </c>
      <c r="F25" s="8">
        <v>0.99480000000000002</v>
      </c>
      <c r="G25" s="4">
        <v>1926229</v>
      </c>
      <c r="H25" s="7">
        <v>3.6183575269034112</v>
      </c>
      <c r="I25" s="4">
        <v>8741951.2295795996</v>
      </c>
      <c r="J25" s="8">
        <v>2.4504000000000001</v>
      </c>
      <c r="K25" s="8">
        <v>42.993699999999997</v>
      </c>
      <c r="L25" s="7">
        <v>1</v>
      </c>
      <c r="M25" s="8">
        <v>63.391599999999997</v>
      </c>
      <c r="N25" s="8">
        <v>14.939241510888877</v>
      </c>
      <c r="O25" s="8">
        <v>7.0106644802009274E-2</v>
      </c>
      <c r="P25" s="11">
        <v>2006.8354511970535</v>
      </c>
      <c r="Q25" s="8">
        <v>0.94885575269779521</v>
      </c>
      <c r="R25" s="3">
        <v>8.6746838763360392E-3</v>
      </c>
      <c r="S25" s="33">
        <v>0.10400088774297593</v>
      </c>
      <c r="T25" s="5">
        <v>44.4</v>
      </c>
      <c r="U25" s="34">
        <v>0.30180815833333335</v>
      </c>
      <c r="V25">
        <v>580.65674958785803</v>
      </c>
    </row>
    <row r="26" spans="1:22" x14ac:dyDescent="0.2">
      <c r="A26" s="2" t="s">
        <v>13</v>
      </c>
      <c r="B26" s="5">
        <v>2018</v>
      </c>
      <c r="C26" s="8">
        <v>4.2015108105907339</v>
      </c>
      <c r="D26" s="4">
        <v>1.0690266174469369</v>
      </c>
      <c r="E26" s="6">
        <v>9.7583004906467432E-4</v>
      </c>
      <c r="F26" s="8">
        <v>0.9919</v>
      </c>
      <c r="G26" s="4">
        <v>2345253</v>
      </c>
      <c r="H26" s="7">
        <v>21.753592122224305</v>
      </c>
      <c r="I26" s="4">
        <v>8013788.1759488005</v>
      </c>
      <c r="J26" s="8">
        <v>2.5333999999999999</v>
      </c>
      <c r="K26" s="8">
        <v>44.994</v>
      </c>
      <c r="L26" s="7">
        <v>1</v>
      </c>
      <c r="M26" s="8">
        <v>63.034700000000001</v>
      </c>
      <c r="N26" s="8">
        <v>14.952301422076955</v>
      </c>
      <c r="O26" s="8">
        <v>7.3689001627457978E-2</v>
      </c>
      <c r="P26" s="11">
        <v>1927.0146235894265</v>
      </c>
      <c r="Q26" s="8">
        <v>0.89165214659045655</v>
      </c>
      <c r="R26" s="3">
        <v>8.9564998092053292E-3</v>
      </c>
      <c r="S26" s="33">
        <v>0.11043420027417027</v>
      </c>
      <c r="T26" s="5">
        <v>44.1</v>
      </c>
      <c r="U26" s="34">
        <v>0.21956370000000003</v>
      </c>
      <c r="V26">
        <v>555.44645839822601</v>
      </c>
    </row>
    <row r="27" spans="1:22" x14ac:dyDescent="0.2">
      <c r="A27" s="2" t="s">
        <v>13</v>
      </c>
      <c r="B27" s="5">
        <v>2019</v>
      </c>
      <c r="C27" s="8">
        <v>4.1702663729853677</v>
      </c>
      <c r="D27" s="4">
        <v>-1.7990233424502957</v>
      </c>
      <c r="E27" s="6">
        <v>3.107026156479227E-2</v>
      </c>
      <c r="F27" s="8">
        <v>0.96199999999999997</v>
      </c>
      <c r="G27" s="4">
        <v>2166269</v>
      </c>
      <c r="H27" s="7">
        <v>-7.6317565738110131</v>
      </c>
      <c r="I27" s="4">
        <v>7914796.3852475006</v>
      </c>
      <c r="J27" s="8">
        <v>2.4752999999999998</v>
      </c>
      <c r="K27" s="8">
        <v>40.167999999999999</v>
      </c>
      <c r="L27" s="7">
        <v>1</v>
      </c>
      <c r="M27" s="8">
        <v>66.465599999999995</v>
      </c>
      <c r="N27" s="8">
        <v>14.98387994446842</v>
      </c>
      <c r="O27" s="8">
        <v>8.4779681726921491E-2</v>
      </c>
      <c r="P27" s="11">
        <v>1947.7106261541044</v>
      </c>
      <c r="Q27" s="8">
        <v>0.89543283711633603</v>
      </c>
      <c r="R27" s="3">
        <v>8.6968219547570169E-3</v>
      </c>
      <c r="S27" s="33">
        <v>7.3452735650900214E-2</v>
      </c>
      <c r="T27" s="5">
        <v>43</v>
      </c>
      <c r="U27" s="34">
        <v>0.13867664166666668</v>
      </c>
      <c r="V27">
        <v>585.91101318036897</v>
      </c>
    </row>
    <row r="28" spans="1:22" x14ac:dyDescent="0.2">
      <c r="A28" s="2" t="s">
        <v>13</v>
      </c>
      <c r="B28" s="5">
        <v>2020</v>
      </c>
      <c r="C28" s="8">
        <v>1.9987960024630558</v>
      </c>
      <c r="D28" s="4">
        <v>0.53696125955397889</v>
      </c>
      <c r="E28" s="6">
        <v>2.4623735472903866E-2</v>
      </c>
      <c r="F28" s="8">
        <v>0.94169999999999998</v>
      </c>
      <c r="G28" s="4">
        <v>2508219</v>
      </c>
      <c r="H28" s="7">
        <v>15.785204884527268</v>
      </c>
      <c r="I28" s="4">
        <v>10440502.899735</v>
      </c>
      <c r="J28" s="8">
        <v>2.0529000000000002</v>
      </c>
      <c r="K28" s="8">
        <v>55.283999999999999</v>
      </c>
      <c r="L28" s="7">
        <v>1</v>
      </c>
      <c r="M28" s="8">
        <v>80.529799999999994</v>
      </c>
      <c r="N28" s="8">
        <v>15.15653546723974</v>
      </c>
      <c r="O28" s="8">
        <v>8.1781400670380228E-2</v>
      </c>
      <c r="P28" s="11">
        <v>2340.0238970588234</v>
      </c>
      <c r="Q28" s="8">
        <v>1.6445236458590746</v>
      </c>
      <c r="R28" s="3">
        <v>8.4816520667764846E-3</v>
      </c>
      <c r="S28" s="33">
        <v>-8.0002386939810141E-2</v>
      </c>
      <c r="T28" s="5">
        <v>42.9</v>
      </c>
      <c r="U28" s="34">
        <v>0.15699912500000002</v>
      </c>
      <c r="V28">
        <v>575.58600451094503</v>
      </c>
    </row>
    <row r="29" spans="1:22" x14ac:dyDescent="0.2">
      <c r="A29" s="2" t="s">
        <v>13</v>
      </c>
      <c r="B29" s="5">
        <v>2021</v>
      </c>
      <c r="C29" s="8">
        <v>2.520911920219882</v>
      </c>
      <c r="D29" s="4">
        <v>1.2614012417189719</v>
      </c>
      <c r="E29" s="6">
        <v>3.3070438776537257E-3</v>
      </c>
      <c r="F29" s="8">
        <v>0.93979999999999997</v>
      </c>
      <c r="G29" s="4">
        <v>2874841</v>
      </c>
      <c r="H29" s="7">
        <v>14.616825723750598</v>
      </c>
      <c r="I29" s="4">
        <v>10110411.014545601</v>
      </c>
      <c r="J29" s="8">
        <v>1.7630999999999999</v>
      </c>
      <c r="K29" s="8">
        <v>49.880600000000001</v>
      </c>
      <c r="L29" s="7">
        <v>1</v>
      </c>
      <c r="M29" s="8">
        <v>97.061800000000005</v>
      </c>
      <c r="N29" s="8">
        <v>15.281835528530671</v>
      </c>
      <c r="O29" s="8">
        <v>8.7656558665711315E-2</v>
      </c>
      <c r="P29" s="11">
        <v>1744.6996079613996</v>
      </c>
      <c r="Q29" s="8">
        <v>0.97643675787550765</v>
      </c>
      <c r="R29" s="3">
        <v>8.2494859566932047E-3</v>
      </c>
      <c r="S29" s="33">
        <v>1.0212251572429743E-2</v>
      </c>
      <c r="T29" s="5">
        <v>43.4</v>
      </c>
      <c r="U29" s="34">
        <v>0.20469052499999998</v>
      </c>
      <c r="V29">
        <v>554.53067503310399</v>
      </c>
    </row>
    <row r="30" spans="1:22" x14ac:dyDescent="0.2">
      <c r="A30" s="2" t="s">
        <v>13</v>
      </c>
      <c r="B30" s="5">
        <v>2022</v>
      </c>
      <c r="C30" s="8">
        <v>2.587071947153889</v>
      </c>
      <c r="D30" s="4">
        <v>-1.3790564709852191</v>
      </c>
      <c r="E30" s="6">
        <v>2.7705651582111964E-2</v>
      </c>
      <c r="F30" s="8">
        <v>0.9496</v>
      </c>
      <c r="G30" s="4">
        <v>3111942</v>
      </c>
      <c r="H30" s="7">
        <v>8.2474474240488433</v>
      </c>
      <c r="I30" s="4">
        <v>9719011.0872259997</v>
      </c>
      <c r="J30" s="8">
        <v>2.0215999999999998</v>
      </c>
      <c r="K30" s="8">
        <v>49.064700000000002</v>
      </c>
      <c r="L30" s="7">
        <v>1</v>
      </c>
      <c r="M30" s="8">
        <v>90.426900000000003</v>
      </c>
      <c r="N30" s="8">
        <v>15.302046575282002</v>
      </c>
      <c r="O30" s="8">
        <v>9.3775959180662366E-2</v>
      </c>
      <c r="P30" s="11">
        <v>1394.5953097857557</v>
      </c>
      <c r="Q30" s="8">
        <v>0.99527730291115146</v>
      </c>
      <c r="R30" s="3">
        <v>8.4176349613585399E-3</v>
      </c>
      <c r="S30" s="33">
        <v>-2.0229648711727066E-2</v>
      </c>
      <c r="T30" s="5">
        <v>44.8</v>
      </c>
      <c r="U30" s="34">
        <v>0.23766538333333329</v>
      </c>
      <c r="V30">
        <v>623.75970091118199</v>
      </c>
    </row>
    <row r="31" spans="1:22" x14ac:dyDescent="0.2">
      <c r="A31" s="5"/>
      <c r="B31" s="5"/>
      <c r="C31" s="10"/>
      <c r="D31" s="10"/>
      <c r="E31" s="14"/>
      <c r="F31" s="10"/>
      <c r="G31" s="10"/>
      <c r="H31" s="7"/>
      <c r="I31" s="10"/>
      <c r="J31" s="10"/>
      <c r="K31" s="10"/>
      <c r="L31" s="10"/>
      <c r="M31" s="10"/>
      <c r="N31" s="10"/>
      <c r="O31" s="8"/>
      <c r="P31" s="7"/>
      <c r="Q31" s="10"/>
      <c r="R31" s="20"/>
      <c r="S31" s="5"/>
      <c r="T31" s="5"/>
      <c r="U31" s="5"/>
      <c r="V31" s="5"/>
    </row>
    <row r="32" spans="1:22" x14ac:dyDescent="0.2">
      <c r="A32" s="2" t="s">
        <v>14</v>
      </c>
      <c r="B32" s="5">
        <v>2014</v>
      </c>
      <c r="C32" s="8">
        <v>5.5934694728096597</v>
      </c>
      <c r="D32" s="4">
        <v>2.9908094693015337</v>
      </c>
      <c r="E32" s="6">
        <v>-1.4768365423074782E-2</v>
      </c>
      <c r="F32" s="8">
        <v>1.1217999999999999</v>
      </c>
      <c r="G32" s="4">
        <v>2074581</v>
      </c>
      <c r="H32" s="7">
        <v>-10.7586189</v>
      </c>
      <c r="I32" s="4">
        <v>3606640.5992832002</v>
      </c>
      <c r="J32" s="8">
        <v>3.4624999999999999</v>
      </c>
      <c r="K32" s="8">
        <v>44.324300000000001</v>
      </c>
      <c r="L32" s="7">
        <v>1</v>
      </c>
      <c r="M32" s="8">
        <v>64.253600000000006</v>
      </c>
      <c r="N32" s="8">
        <v>14.686442600060689</v>
      </c>
      <c r="O32" s="8">
        <v>3.3391833402651699E-2</v>
      </c>
      <c r="P32" s="8">
        <v>7.383030034019887E-4</v>
      </c>
      <c r="Q32" s="8">
        <v>0.48399894336536603</v>
      </c>
      <c r="R32" s="3">
        <v>9.3695597874602684E-3</v>
      </c>
      <c r="S32" s="33">
        <v>-3.0915019181547123E-2</v>
      </c>
      <c r="T32" s="5">
        <v>47.2</v>
      </c>
      <c r="U32" s="34">
        <v>0.31237478333333329</v>
      </c>
      <c r="V32">
        <v>493.757329875312</v>
      </c>
    </row>
    <row r="33" spans="1:22" x14ac:dyDescent="0.2">
      <c r="A33" s="2" t="s">
        <v>14</v>
      </c>
      <c r="B33" s="5">
        <v>2015</v>
      </c>
      <c r="C33" s="8">
        <v>4.5998411371886041</v>
      </c>
      <c r="D33" s="4">
        <v>2.753809467436513</v>
      </c>
      <c r="E33" s="6">
        <v>-1.1562724810389745E-2</v>
      </c>
      <c r="F33" s="8">
        <v>1.0290999999999999</v>
      </c>
      <c r="G33" s="4">
        <v>2159369</v>
      </c>
      <c r="H33" s="7">
        <v>4.0869939999999998</v>
      </c>
      <c r="I33" s="4">
        <v>4949115.4444896001</v>
      </c>
      <c r="J33" s="8">
        <v>3.7549999999999999</v>
      </c>
      <c r="K33" s="8">
        <v>45.215400000000002</v>
      </c>
      <c r="L33" s="7">
        <v>1</v>
      </c>
      <c r="M33" s="8">
        <v>57.841500000000003</v>
      </c>
      <c r="N33" s="8">
        <v>14.753682293851847</v>
      </c>
      <c r="O33" s="8">
        <v>3.9951442057583671E-2</v>
      </c>
      <c r="P33" s="8">
        <v>6.102896150658178E-4</v>
      </c>
      <c r="Q33" s="8">
        <v>0.53950452476182864</v>
      </c>
      <c r="R33" s="3">
        <v>9.4400477390438192E-3</v>
      </c>
      <c r="S33" s="33">
        <v>-1.4834801845660568E-2</v>
      </c>
      <c r="T33" s="5">
        <v>49.2</v>
      </c>
      <c r="U33" s="34">
        <v>0.24796339999999997</v>
      </c>
      <c r="V33">
        <v>591.21169798260996</v>
      </c>
    </row>
    <row r="34" spans="1:22" x14ac:dyDescent="0.2">
      <c r="A34" s="2" t="s">
        <v>14</v>
      </c>
      <c r="B34" s="5">
        <v>2016</v>
      </c>
      <c r="C34" s="8">
        <v>4.3158860460509034</v>
      </c>
      <c r="D34" s="4">
        <v>1.5474963610768713</v>
      </c>
      <c r="E34" s="6">
        <v>2.0623012128873431E-3</v>
      </c>
      <c r="F34" s="8">
        <v>1.0362</v>
      </c>
      <c r="G34" s="4">
        <v>2276705</v>
      </c>
      <c r="H34" s="7">
        <v>5.4338096</v>
      </c>
      <c r="I34" s="4">
        <v>6508833.0918376008</v>
      </c>
      <c r="J34" s="8">
        <v>3.66</v>
      </c>
      <c r="K34" s="8">
        <v>41.656999999999996</v>
      </c>
      <c r="L34" s="7">
        <v>1</v>
      </c>
      <c r="M34" s="8">
        <v>78.063000000000002</v>
      </c>
      <c r="N34" s="8">
        <v>14.860468337999345</v>
      </c>
      <c r="O34" s="8">
        <v>5.0196152554850139E-2</v>
      </c>
      <c r="P34" s="8">
        <v>5.9485790140360786E-4</v>
      </c>
      <c r="Q34" s="8">
        <v>0.4704663570334327</v>
      </c>
      <c r="R34" s="3">
        <v>9.4581503087690713E-3</v>
      </c>
      <c r="S34" s="33">
        <v>3.0077789031008589E-2</v>
      </c>
      <c r="T34" s="5">
        <v>45</v>
      </c>
      <c r="U34" s="34">
        <v>0.3312161666666667</v>
      </c>
      <c r="V34">
        <v>592.60561506302201</v>
      </c>
    </row>
    <row r="35" spans="1:22" x14ac:dyDescent="0.2">
      <c r="A35" s="2" t="s">
        <v>14</v>
      </c>
      <c r="B35" s="5">
        <v>2017</v>
      </c>
      <c r="C35" s="8">
        <v>3.5572750490196414</v>
      </c>
      <c r="D35" s="4">
        <v>-2.0494380394348441</v>
      </c>
      <c r="E35" s="6">
        <v>3.227151423816655E-2</v>
      </c>
      <c r="F35" s="8">
        <v>1.0711999999999999</v>
      </c>
      <c r="G35" s="4">
        <v>2332510</v>
      </c>
      <c r="H35" s="7">
        <v>2.45113</v>
      </c>
      <c r="I35" s="4">
        <v>6967529.4550705999</v>
      </c>
      <c r="J35" s="8">
        <v>3.6013000000000002</v>
      </c>
      <c r="K35" s="8">
        <v>42.356400000000001</v>
      </c>
      <c r="L35" s="7">
        <v>1</v>
      </c>
      <c r="M35" s="8">
        <v>41.5426</v>
      </c>
      <c r="N35" s="8">
        <v>14.880511175006387</v>
      </c>
      <c r="O35" s="8">
        <v>5.7374782088924867E-2</v>
      </c>
      <c r="P35" s="8">
        <v>7.1725548399424516E-4</v>
      </c>
      <c r="Q35" s="8">
        <v>0.51892005288408904</v>
      </c>
      <c r="R35" s="3">
        <v>9.5960520982893305E-3</v>
      </c>
      <c r="S35" s="33">
        <v>0.10400088774297593</v>
      </c>
      <c r="T35" s="5">
        <v>44.4</v>
      </c>
      <c r="U35" s="34">
        <v>0.30180815833333335</v>
      </c>
      <c r="V35">
        <v>580.65674958785803</v>
      </c>
    </row>
    <row r="36" spans="1:22" x14ac:dyDescent="0.2">
      <c r="A36" s="2" t="s">
        <v>14</v>
      </c>
      <c r="B36" s="5">
        <v>2018</v>
      </c>
      <c r="C36" s="8">
        <v>3.7532561404343392</v>
      </c>
      <c r="D36" s="4">
        <v>2.075978784090184</v>
      </c>
      <c r="E36" s="6">
        <v>-5.4286376745810447E-3</v>
      </c>
      <c r="F36" s="8">
        <v>1.0210999999999999</v>
      </c>
      <c r="G36" s="4">
        <v>2848414</v>
      </c>
      <c r="H36" s="7">
        <v>22.117975900000001</v>
      </c>
      <c r="I36" s="4">
        <v>7440019.6367028989</v>
      </c>
      <c r="J36" s="8">
        <v>3.6829999999999998</v>
      </c>
      <c r="K36" s="8">
        <v>43.9724</v>
      </c>
      <c r="L36" s="7">
        <v>1</v>
      </c>
      <c r="M36" s="8">
        <v>53.625300000000003</v>
      </c>
      <c r="N36" s="8">
        <v>14.964527836110594</v>
      </c>
      <c r="O36" s="8">
        <v>6.2424964350844644E-2</v>
      </c>
      <c r="P36" s="8">
        <v>6.5398015127921645E-4</v>
      </c>
      <c r="Q36" s="8">
        <v>0.46531407715069911</v>
      </c>
      <c r="R36" s="3">
        <v>9.594340809882352E-3</v>
      </c>
      <c r="S36" s="33">
        <v>0.11043420027417027</v>
      </c>
      <c r="T36" s="5">
        <v>44.1</v>
      </c>
      <c r="U36" s="34">
        <v>0.21956370000000003</v>
      </c>
      <c r="V36">
        <v>555.44645839822601</v>
      </c>
    </row>
    <row r="37" spans="1:22" x14ac:dyDescent="0.2">
      <c r="A37" s="2" t="s">
        <v>14</v>
      </c>
      <c r="B37" s="5">
        <v>2019</v>
      </c>
      <c r="C37" s="8">
        <v>3.5825674025896479</v>
      </c>
      <c r="D37" s="4">
        <v>0.17220804195123507</v>
      </c>
      <c r="E37" s="6">
        <v>1.3432991124056055E-2</v>
      </c>
      <c r="F37" s="8">
        <v>0.98629999999999995</v>
      </c>
      <c r="G37" s="4">
        <v>2985187</v>
      </c>
      <c r="H37" s="7">
        <v>4.8017247000000003</v>
      </c>
      <c r="I37" s="4">
        <v>8403698.9776357003</v>
      </c>
      <c r="J37" s="8">
        <v>3.3573</v>
      </c>
      <c r="K37" s="8">
        <v>45.329099999999997</v>
      </c>
      <c r="L37" s="7">
        <v>1</v>
      </c>
      <c r="M37" s="8">
        <v>40.8035</v>
      </c>
      <c r="N37" s="8">
        <v>15.007579488180369</v>
      </c>
      <c r="O37" s="8">
        <v>6.2378481508888202E-2</v>
      </c>
      <c r="P37" s="8">
        <v>6.2568373077157317E-4</v>
      </c>
      <c r="Q37" s="8">
        <v>0.51185799284245692</v>
      </c>
      <c r="R37" s="3">
        <v>9.6617123806895522E-3</v>
      </c>
      <c r="S37" s="33">
        <v>7.3452735650900214E-2</v>
      </c>
      <c r="T37" s="5">
        <v>43</v>
      </c>
      <c r="U37" s="34">
        <v>0.13867664166666668</v>
      </c>
      <c r="V37">
        <v>585.91101318036897</v>
      </c>
    </row>
    <row r="38" spans="1:22" x14ac:dyDescent="0.2">
      <c r="A38" s="2" t="s">
        <v>14</v>
      </c>
      <c r="B38" s="5">
        <v>2020</v>
      </c>
      <c r="C38" s="8">
        <v>2.6291679748875252</v>
      </c>
      <c r="D38" s="4">
        <v>0.75967072173216477</v>
      </c>
      <c r="E38" s="6">
        <v>2.8333285877009787E-2</v>
      </c>
      <c r="F38" s="8">
        <v>0.95299999999999996</v>
      </c>
      <c r="G38" s="4">
        <v>2893328</v>
      </c>
      <c r="H38" s="7">
        <v>-3.0771606999999999</v>
      </c>
      <c r="I38" s="4">
        <v>10100842.973271299</v>
      </c>
      <c r="J38" s="8">
        <v>3.2199</v>
      </c>
      <c r="K38" s="8">
        <v>45.134500000000003</v>
      </c>
      <c r="L38" s="7">
        <v>1</v>
      </c>
      <c r="M38" s="8">
        <v>37.377499999999998</v>
      </c>
      <c r="N38" s="8">
        <v>15.112645170268259</v>
      </c>
      <c r="O38" s="8">
        <v>5.9568906842610118E-2</v>
      </c>
      <c r="P38" s="8">
        <v>5.6601198867245862E-4</v>
      </c>
      <c r="Q38" s="8">
        <v>0.44703664513609898</v>
      </c>
      <c r="R38" s="3">
        <v>9.6208648127047609E-3</v>
      </c>
      <c r="S38" s="33">
        <v>-8.0002386939810141E-2</v>
      </c>
      <c r="T38" s="5">
        <v>42.9</v>
      </c>
      <c r="U38" s="34">
        <v>0.15699912500000002</v>
      </c>
      <c r="V38">
        <v>575.58600451094503</v>
      </c>
    </row>
    <row r="39" spans="1:22" x14ac:dyDescent="0.2">
      <c r="A39" s="2" t="s">
        <v>14</v>
      </c>
      <c r="B39" s="5">
        <v>2021</v>
      </c>
      <c r="C39" s="8">
        <v>2.9738790847646701</v>
      </c>
      <c r="D39" s="4">
        <v>2.2446906183405537</v>
      </c>
      <c r="E39" s="6">
        <v>-1.4564163944225327E-3</v>
      </c>
      <c r="F39" s="8">
        <v>0.96579999999999999</v>
      </c>
      <c r="G39" s="4">
        <v>3076753</v>
      </c>
      <c r="H39" s="7">
        <v>6.3395853999999998</v>
      </c>
      <c r="I39" s="4">
        <v>10403756.607608</v>
      </c>
      <c r="J39" s="8">
        <v>3.1375999999999999</v>
      </c>
      <c r="K39" s="8">
        <v>43.308</v>
      </c>
      <c r="L39" s="7">
        <v>1</v>
      </c>
      <c r="M39" s="8">
        <v>58.822400000000002</v>
      </c>
      <c r="N39" s="8">
        <v>15.227326095637665</v>
      </c>
      <c r="O39" s="8">
        <v>5.9371436765943399E-2</v>
      </c>
      <c r="P39" s="8">
        <v>4.4074746975304946E-4</v>
      </c>
      <c r="Q39" s="8">
        <v>0.30425227777030422</v>
      </c>
      <c r="R39" s="3">
        <v>9.3834543356330485E-3</v>
      </c>
      <c r="S39" s="33">
        <v>1.0212251572429743E-2</v>
      </c>
      <c r="T39" s="5">
        <v>43.4</v>
      </c>
      <c r="U39" s="34">
        <v>0.20469052499999998</v>
      </c>
      <c r="V39">
        <v>554.53067503310399</v>
      </c>
    </row>
    <row r="40" spans="1:22" x14ac:dyDescent="0.2">
      <c r="A40" s="2" t="s">
        <v>14</v>
      </c>
      <c r="B40" s="5">
        <v>2022</v>
      </c>
      <c r="C40" s="8">
        <v>2.6502266957674103</v>
      </c>
      <c r="D40" s="4">
        <v>1.5885960985380052</v>
      </c>
      <c r="E40" s="6">
        <v>-1.5576074173124788E-3</v>
      </c>
      <c r="F40" s="8">
        <v>0.96379999999999999</v>
      </c>
      <c r="G40" s="4">
        <v>2995760</v>
      </c>
      <c r="H40" s="7">
        <v>-2.6324179999999999</v>
      </c>
      <c r="I40" s="4">
        <v>9253687.0676543992</v>
      </c>
      <c r="J40" s="8">
        <v>3.4123000000000001</v>
      </c>
      <c r="K40" s="8">
        <v>43.174100000000003</v>
      </c>
      <c r="L40" s="7">
        <v>1</v>
      </c>
      <c r="M40" s="8">
        <v>43.737099999999998</v>
      </c>
      <c r="N40" s="8">
        <v>15.261574795003499</v>
      </c>
      <c r="O40" s="8">
        <v>5.3171203757292312E-2</v>
      </c>
      <c r="P40" s="8">
        <v>3.8941135945727746E-4</v>
      </c>
      <c r="Q40" s="8">
        <v>0.39453701407542907</v>
      </c>
      <c r="R40" s="3">
        <v>9.1363859346232437E-3</v>
      </c>
      <c r="S40" s="33">
        <v>-2.0229648711727066E-2</v>
      </c>
      <c r="T40" s="5">
        <v>44.8</v>
      </c>
      <c r="U40" s="34">
        <v>0.23766538333333329</v>
      </c>
      <c r="V40">
        <v>623.75970091118199</v>
      </c>
    </row>
    <row r="41" spans="1:22" x14ac:dyDescent="0.2">
      <c r="A41" s="5"/>
      <c r="B41" s="5"/>
      <c r="C41" s="8"/>
      <c r="D41" s="10"/>
      <c r="E41" s="9"/>
      <c r="F41" s="8"/>
      <c r="G41" s="4"/>
      <c r="H41" s="7"/>
      <c r="I41" s="4"/>
      <c r="J41" s="8"/>
      <c r="K41" s="8"/>
      <c r="L41" s="7"/>
      <c r="M41" s="8"/>
      <c r="N41" s="8"/>
      <c r="O41" s="8"/>
      <c r="P41" s="11"/>
      <c r="Q41" s="8"/>
      <c r="R41" s="3"/>
      <c r="S41" s="5"/>
      <c r="T41" s="5"/>
      <c r="U41" s="5"/>
      <c r="V41" s="5"/>
    </row>
    <row r="42" spans="1:22" x14ac:dyDescent="0.2">
      <c r="A42" s="2" t="s">
        <v>15</v>
      </c>
      <c r="B42" s="5">
        <v>2014</v>
      </c>
      <c r="C42" s="8">
        <v>5.0917144001661594</v>
      </c>
      <c r="D42" s="4">
        <v>2.415722731322099</v>
      </c>
      <c r="E42" s="6">
        <v>-9.4096761264619907E-3</v>
      </c>
      <c r="F42" s="8">
        <v>1.0305</v>
      </c>
      <c r="G42" s="4">
        <v>1677757.01</v>
      </c>
      <c r="H42" s="7">
        <v>10.264144099999999</v>
      </c>
      <c r="I42" s="4">
        <v>5748980.6652839994</v>
      </c>
      <c r="J42" s="8">
        <v>3.0754000000000001</v>
      </c>
      <c r="K42" s="8">
        <v>45.801000000000002</v>
      </c>
      <c r="L42" s="7">
        <v>1</v>
      </c>
      <c r="M42" s="8">
        <v>138.42939999999999</v>
      </c>
      <c r="N42" s="8">
        <v>14.841244783983642</v>
      </c>
      <c r="O42" s="8">
        <v>3.8925142378757577E-2</v>
      </c>
      <c r="P42" s="8">
        <v>8.1329914549920174E-4</v>
      </c>
      <c r="Q42" s="8">
        <v>1.3324288950031811</v>
      </c>
      <c r="R42" s="3">
        <v>9.0783464933364231E-3</v>
      </c>
      <c r="S42" s="33">
        <v>-3.0915019181547123E-2</v>
      </c>
      <c r="T42" s="5">
        <v>47.2</v>
      </c>
      <c r="U42" s="34">
        <v>0.31237478333333329</v>
      </c>
      <c r="V42">
        <v>493.757329875312</v>
      </c>
    </row>
    <row r="43" spans="1:22" x14ac:dyDescent="0.2">
      <c r="A43" s="2" t="s">
        <v>15</v>
      </c>
      <c r="B43" s="5">
        <v>2015</v>
      </c>
      <c r="C43" s="8">
        <v>4.2134995555899408</v>
      </c>
      <c r="D43" s="4">
        <v>2.1781419156491402</v>
      </c>
      <c r="E43" s="6">
        <v>-5.0144916785099004E-3</v>
      </c>
      <c r="F43" s="8">
        <v>0.99560000000000004</v>
      </c>
      <c r="G43" s="4">
        <v>2475741.7799999998</v>
      </c>
      <c r="H43" s="7">
        <v>47.562594900000001</v>
      </c>
      <c r="I43" s="4">
        <v>7637144.7307042005</v>
      </c>
      <c r="J43" s="8">
        <v>3.0514999999999999</v>
      </c>
      <c r="K43" s="8">
        <v>44.835799999999999</v>
      </c>
      <c r="L43" s="7">
        <v>1</v>
      </c>
      <c r="M43" s="8">
        <v>131.8827</v>
      </c>
      <c r="N43" s="8">
        <v>14.850589916074641</v>
      </c>
      <c r="O43" s="8">
        <v>4.2396589247532208E-2</v>
      </c>
      <c r="P43" s="8">
        <v>7.0265385176703627E-4</v>
      </c>
      <c r="Q43" s="8">
        <v>1.6088640794557425</v>
      </c>
      <c r="R43" s="3">
        <v>9.4939941419109226E-3</v>
      </c>
      <c r="S43" s="33">
        <v>-1.4834801845660568E-2</v>
      </c>
      <c r="T43" s="5">
        <v>49.2</v>
      </c>
      <c r="U43" s="34">
        <v>0.24796339999999997</v>
      </c>
      <c r="V43">
        <v>591.21169798260996</v>
      </c>
    </row>
    <row r="44" spans="1:22" x14ac:dyDescent="0.2">
      <c r="A44" s="2" t="s">
        <v>15</v>
      </c>
      <c r="B44" s="5">
        <v>2016</v>
      </c>
      <c r="C44" s="8">
        <v>4.8680777538521882</v>
      </c>
      <c r="D44" s="4">
        <v>0.96493789178908296</v>
      </c>
      <c r="E44" s="6">
        <v>5.3915577323678495E-3</v>
      </c>
      <c r="F44" s="8">
        <v>0.99</v>
      </c>
      <c r="G44" s="4">
        <v>2847809.62</v>
      </c>
      <c r="H44" s="7">
        <v>15.028539899999998</v>
      </c>
      <c r="I44" s="4">
        <v>9112714.9497999996</v>
      </c>
      <c r="J44" s="8">
        <v>3.3412000000000002</v>
      </c>
      <c r="K44" s="8">
        <v>41.643000000000001</v>
      </c>
      <c r="L44" s="7">
        <v>1</v>
      </c>
      <c r="M44" s="8">
        <v>125.39570000000001</v>
      </c>
      <c r="N44" s="8">
        <v>14.804941466686458</v>
      </c>
      <c r="O44" s="8">
        <v>5.8180711451479572E-2</v>
      </c>
      <c r="P44" s="8">
        <v>7.4710647543161518E-4</v>
      </c>
      <c r="Q44" s="8">
        <v>1.1263262311235207</v>
      </c>
      <c r="R44" s="3">
        <v>9.6536517990320984E-3</v>
      </c>
      <c r="S44" s="33">
        <v>3.0077789031008589E-2</v>
      </c>
      <c r="T44" s="5">
        <v>45</v>
      </c>
      <c r="U44" s="34">
        <v>0.3312161666666667</v>
      </c>
      <c r="V44">
        <v>592.60561506302201</v>
      </c>
    </row>
    <row r="45" spans="1:22" x14ac:dyDescent="0.2">
      <c r="A45" s="2" t="s">
        <v>15</v>
      </c>
      <c r="B45" s="5">
        <v>2017</v>
      </c>
      <c r="C45" s="8">
        <v>3.4775687671675297</v>
      </c>
      <c r="D45" s="4">
        <v>-0.39064213503736489</v>
      </c>
      <c r="E45" s="6">
        <v>1.4987818507500089E-2</v>
      </c>
      <c r="F45" s="8">
        <v>0.99319999999999997</v>
      </c>
      <c r="G45" s="4">
        <v>3029006.83</v>
      </c>
      <c r="H45" s="7">
        <v>6.3626868999999999</v>
      </c>
      <c r="I45" s="4">
        <v>10301985.599265801</v>
      </c>
      <c r="J45" s="8">
        <v>3.3186</v>
      </c>
      <c r="K45" s="8">
        <v>40.908700000000003</v>
      </c>
      <c r="L45" s="7">
        <v>1</v>
      </c>
      <c r="M45" s="8">
        <v>137.01750000000001</v>
      </c>
      <c r="N45" s="8">
        <v>14.864305657703525</v>
      </c>
      <c r="O45" s="8">
        <v>6.4693351595489154E-2</v>
      </c>
      <c r="P45" s="8">
        <v>7.8862901623798741E-4</v>
      </c>
      <c r="Q45" s="8">
        <v>1.3520271435555167</v>
      </c>
      <c r="R45" s="3">
        <v>9.3587569862414715E-3</v>
      </c>
      <c r="S45" s="33">
        <v>0.10400088774297593</v>
      </c>
      <c r="T45" s="5">
        <v>44.4</v>
      </c>
      <c r="U45" s="34">
        <v>0.30180815833333335</v>
      </c>
      <c r="V45">
        <v>580.65674958785803</v>
      </c>
    </row>
    <row r="46" spans="1:22" x14ac:dyDescent="0.2">
      <c r="A46" s="2" t="s">
        <v>15</v>
      </c>
      <c r="B46" s="5">
        <v>2018</v>
      </c>
      <c r="C46" s="8">
        <v>4.3189727113152667</v>
      </c>
      <c r="D46" s="4">
        <v>0.35498374997945364</v>
      </c>
      <c r="E46" s="6">
        <v>8.933489351300599E-3</v>
      </c>
      <c r="F46" s="8">
        <v>0.98629999999999995</v>
      </c>
      <c r="G46" s="4">
        <v>4110568.45</v>
      </c>
      <c r="H46" s="7">
        <v>35.706806899999997</v>
      </c>
      <c r="I46" s="4">
        <v>10636873.831291201</v>
      </c>
      <c r="J46" s="8">
        <v>3.1648000000000001</v>
      </c>
      <c r="K46" s="8">
        <v>45.729399999999998</v>
      </c>
      <c r="L46" s="7">
        <v>1</v>
      </c>
      <c r="M46" s="8">
        <v>92.880700000000004</v>
      </c>
      <c r="N46" s="8">
        <v>14.823177629867549</v>
      </c>
      <c r="O46" s="8">
        <v>6.6077503021585521E-2</v>
      </c>
      <c r="P46" s="8">
        <v>7.7496512859502955E-4</v>
      </c>
      <c r="Q46" s="8">
        <v>0.98016316025954808</v>
      </c>
      <c r="R46" s="3">
        <v>9.9245058212469022E-3</v>
      </c>
      <c r="S46" s="33">
        <v>0.11043420027417027</v>
      </c>
      <c r="T46" s="5">
        <v>44.1</v>
      </c>
      <c r="U46" s="34">
        <v>0.21956370000000003</v>
      </c>
      <c r="V46">
        <v>555.44645839822601</v>
      </c>
    </row>
    <row r="47" spans="1:22" x14ac:dyDescent="0.2">
      <c r="A47" s="2" t="s">
        <v>15</v>
      </c>
      <c r="B47" s="5">
        <v>2019</v>
      </c>
      <c r="C47" s="8">
        <v>4.3210858337657996</v>
      </c>
      <c r="D47" s="4">
        <v>-1.2086228699080945</v>
      </c>
      <c r="E47" s="6">
        <v>2.2518224104831681E-2</v>
      </c>
      <c r="F47" s="8">
        <v>0.96379999999999999</v>
      </c>
      <c r="G47" s="4">
        <v>4424236</v>
      </c>
      <c r="H47" s="7">
        <v>7.6307584999999998</v>
      </c>
      <c r="I47" s="4">
        <v>10265933.758572001</v>
      </c>
      <c r="J47" s="8">
        <v>3.2627999999999999</v>
      </c>
      <c r="K47" s="8">
        <v>50.287500000000001</v>
      </c>
      <c r="L47" s="7">
        <v>1</v>
      </c>
      <c r="M47" s="8">
        <v>110.45910000000001</v>
      </c>
      <c r="N47" s="8">
        <v>14.918186618315847</v>
      </c>
      <c r="O47" s="8">
        <v>6.4725276045508151E-2</v>
      </c>
      <c r="P47" s="8">
        <v>7.619556042465582E-4</v>
      </c>
      <c r="Q47" s="8">
        <v>0.91328534247000615</v>
      </c>
      <c r="R47" s="3">
        <v>9.6939017042829284E-3</v>
      </c>
      <c r="S47" s="33">
        <v>7.3452735650900214E-2</v>
      </c>
      <c r="T47" s="5">
        <v>43</v>
      </c>
      <c r="U47" s="34">
        <v>0.13867664166666668</v>
      </c>
      <c r="V47">
        <v>585.91101318036897</v>
      </c>
    </row>
    <row r="48" spans="1:22" x14ac:dyDescent="0.2">
      <c r="A48" s="2" t="s">
        <v>15</v>
      </c>
      <c r="B48" s="5">
        <v>2020</v>
      </c>
      <c r="C48" s="8">
        <v>2.4178706936539145</v>
      </c>
      <c r="D48" s="4">
        <v>1.9199426518709866</v>
      </c>
      <c r="E48" s="6">
        <v>9.0616649996778983E-3</v>
      </c>
      <c r="F48" s="8">
        <v>0.94340000000000002</v>
      </c>
      <c r="G48" s="4">
        <v>3987186</v>
      </c>
      <c r="H48" s="7">
        <v>-9.8785416999999995</v>
      </c>
      <c r="I48" s="4">
        <v>10713788.5760455</v>
      </c>
      <c r="J48" s="8">
        <v>2.7989999999999999</v>
      </c>
      <c r="K48" s="8">
        <v>44.484699999999997</v>
      </c>
      <c r="L48" s="7">
        <v>1</v>
      </c>
      <c r="M48" s="8">
        <v>104.3098</v>
      </c>
      <c r="N48" s="8">
        <v>15.017816053803591</v>
      </c>
      <c r="O48" s="8">
        <v>6.4026097140638047E-2</v>
      </c>
      <c r="P48" s="8">
        <v>6.8411678562936117E-4</v>
      </c>
      <c r="Q48" s="8">
        <v>1.1225866741340378</v>
      </c>
      <c r="R48" s="3">
        <v>9.544560876631027E-3</v>
      </c>
      <c r="S48" s="33">
        <v>-8.0002386939810141E-2</v>
      </c>
      <c r="T48" s="5">
        <v>42.9</v>
      </c>
      <c r="U48" s="34">
        <v>0.15699912500000002</v>
      </c>
      <c r="V48">
        <v>575.58600451094503</v>
      </c>
    </row>
    <row r="49" spans="1:22" x14ac:dyDescent="0.2">
      <c r="A49" s="2" t="s">
        <v>15</v>
      </c>
      <c r="B49" s="5">
        <v>2021</v>
      </c>
      <c r="C49" s="8">
        <v>2.7908871134077562</v>
      </c>
      <c r="D49" s="4">
        <v>2.2580778850303074</v>
      </c>
      <c r="E49" s="6">
        <v>-5.9417953900231099E-3</v>
      </c>
      <c r="F49" s="8">
        <v>0.9506</v>
      </c>
      <c r="G49" s="4">
        <v>3896196</v>
      </c>
      <c r="H49" s="7">
        <v>-2.2820605999999999</v>
      </c>
      <c r="I49" s="4">
        <v>10680903.556323001</v>
      </c>
      <c r="J49" s="8">
        <v>2.2831999999999999</v>
      </c>
      <c r="K49" s="8">
        <v>45.956800000000001</v>
      </c>
      <c r="L49" s="7">
        <v>1</v>
      </c>
      <c r="M49" s="8">
        <v>117.25069999999999</v>
      </c>
      <c r="N49" s="8">
        <v>15.084356201568493</v>
      </c>
      <c r="O49" s="8">
        <v>6.5415837885644895E-2</v>
      </c>
      <c r="P49" s="8">
        <v>5.3853106460107739E-4</v>
      </c>
      <c r="Q49" s="8">
        <v>0.72783319668204449</v>
      </c>
      <c r="R49" s="3">
        <v>1.013306850799333E-2</v>
      </c>
      <c r="S49" s="33">
        <v>1.0212251572429743E-2</v>
      </c>
      <c r="T49" s="5">
        <v>43.4</v>
      </c>
      <c r="U49" s="34">
        <v>0.20469052499999998</v>
      </c>
      <c r="V49">
        <v>554.53067503310399</v>
      </c>
    </row>
    <row r="50" spans="1:22" x14ac:dyDescent="0.2">
      <c r="A50" s="2" t="s">
        <v>15</v>
      </c>
      <c r="B50" s="5">
        <v>2022</v>
      </c>
      <c r="C50" s="8">
        <v>4.0087616790176153</v>
      </c>
      <c r="D50" s="4">
        <v>-1.0814001290917938</v>
      </c>
      <c r="E50" s="6">
        <v>2.5737582692624276E-2</v>
      </c>
      <c r="F50" s="8">
        <v>0.96409999999999996</v>
      </c>
      <c r="G50" s="4">
        <v>4013506</v>
      </c>
      <c r="H50" s="7">
        <v>3.0108855000000001</v>
      </c>
      <c r="I50" s="4">
        <v>10109425.922368299</v>
      </c>
      <c r="J50" s="8">
        <v>2.3954</v>
      </c>
      <c r="K50" s="8">
        <v>44.064599999999999</v>
      </c>
      <c r="L50" s="7">
        <v>1</v>
      </c>
      <c r="M50" s="8">
        <v>111.3113</v>
      </c>
      <c r="N50" s="8">
        <v>15.094336311572405</v>
      </c>
      <c r="O50" s="8">
        <v>6.6601995532413846E-2</v>
      </c>
      <c r="P50" s="8">
        <v>4.9616418821327602E-4</v>
      </c>
      <c r="Q50" s="8">
        <v>0.51053844770052137</v>
      </c>
      <c r="R50" s="3">
        <v>1.0107988751157922E-2</v>
      </c>
      <c r="S50" s="33">
        <v>-2.0229648711727066E-2</v>
      </c>
      <c r="T50" s="5">
        <v>44.8</v>
      </c>
      <c r="U50" s="34">
        <v>0.23766538333333329</v>
      </c>
      <c r="V50">
        <v>623.75970091118199</v>
      </c>
    </row>
    <row r="51" spans="1:22" x14ac:dyDescent="0.2">
      <c r="A51" s="5"/>
      <c r="B51" s="5"/>
      <c r="C51" s="10"/>
      <c r="D51" s="10"/>
      <c r="E51" s="14"/>
      <c r="F51" s="10"/>
      <c r="G51" s="10"/>
      <c r="H51" s="7"/>
      <c r="I51" s="10"/>
      <c r="J51" s="10"/>
      <c r="K51" s="10"/>
      <c r="L51" s="10"/>
      <c r="M51" s="10"/>
      <c r="N51" s="10"/>
      <c r="O51" s="8"/>
      <c r="P51" s="7"/>
      <c r="Q51" s="10"/>
      <c r="R51" s="20"/>
    </row>
    <row r="52" spans="1:22" x14ac:dyDescent="0.2">
      <c r="A52" s="2" t="s">
        <v>16</v>
      </c>
      <c r="B52" s="5">
        <v>2014</v>
      </c>
      <c r="C52" s="8">
        <v>7.8150422383378286</v>
      </c>
      <c r="D52" s="4">
        <v>2.3946184608351588</v>
      </c>
      <c r="E52" s="6">
        <v>-6.9958410847172827E-3</v>
      </c>
      <c r="F52" s="8">
        <v>1.1157999999999999</v>
      </c>
      <c r="G52" s="4">
        <v>372956</v>
      </c>
      <c r="H52" s="7">
        <v>16.226222200000002</v>
      </c>
      <c r="I52" s="4">
        <v>2998757.1690215999</v>
      </c>
      <c r="J52" s="8">
        <v>4.2686999999999999</v>
      </c>
      <c r="K52" s="8">
        <v>50.296999999999997</v>
      </c>
      <c r="L52" s="7">
        <v>1</v>
      </c>
      <c r="M52" s="8">
        <v>152.16300000000001</v>
      </c>
      <c r="N52" s="8">
        <v>14.00965228959735</v>
      </c>
      <c r="O52" s="8">
        <v>3.9274633307582137E-2</v>
      </c>
      <c r="P52" s="8">
        <v>7.383030034019887E-4</v>
      </c>
      <c r="Q52" s="8">
        <v>1.465544486053169</v>
      </c>
      <c r="R52" s="3">
        <v>1.2091853299413018E-2</v>
      </c>
      <c r="S52" s="33">
        <v>-3.0915019181547123E-2</v>
      </c>
      <c r="T52" s="5">
        <v>47.2</v>
      </c>
      <c r="U52" s="34">
        <v>0.31237478333333329</v>
      </c>
      <c r="V52">
        <v>493.757329875312</v>
      </c>
    </row>
    <row r="53" spans="1:22" x14ac:dyDescent="0.2">
      <c r="A53" s="2" t="s">
        <v>16</v>
      </c>
      <c r="B53" s="5">
        <v>2015</v>
      </c>
      <c r="C53" s="8">
        <v>8.3956565189243282</v>
      </c>
      <c r="D53" s="4">
        <v>2.7432011741014097</v>
      </c>
      <c r="E53" s="6">
        <v>6.4370989612339358E-3</v>
      </c>
      <c r="F53" s="8">
        <v>1.0166999999999999</v>
      </c>
      <c r="G53" s="4">
        <v>1814150</v>
      </c>
      <c r="H53" s="7">
        <v>386.42467210000001</v>
      </c>
      <c r="I53" s="4">
        <v>3223937.8588530002</v>
      </c>
      <c r="J53" s="8">
        <v>4.0938999999999997</v>
      </c>
      <c r="K53" s="8">
        <v>48.421500000000002</v>
      </c>
      <c r="L53" s="7">
        <v>1</v>
      </c>
      <c r="M53" s="8">
        <v>202.56649999999999</v>
      </c>
      <c r="N53" s="8">
        <v>14.349378561239599</v>
      </c>
      <c r="O53" s="8">
        <v>3.4480572466604506E-2</v>
      </c>
      <c r="P53" s="8">
        <v>6.102896150658178E-4</v>
      </c>
      <c r="Q53" s="8">
        <v>1.0994106660983276</v>
      </c>
      <c r="R53" s="3">
        <v>1.2457866899518404E-2</v>
      </c>
      <c r="S53" s="33">
        <v>-1.4834801845660568E-2</v>
      </c>
      <c r="T53" s="5">
        <v>49.2</v>
      </c>
      <c r="U53" s="34">
        <v>0.24796339999999997</v>
      </c>
      <c r="V53">
        <v>591.21169798260996</v>
      </c>
    </row>
    <row r="54" spans="1:22" x14ac:dyDescent="0.2">
      <c r="A54" s="2" t="s">
        <v>16</v>
      </c>
      <c r="B54" s="5">
        <v>2016</v>
      </c>
      <c r="C54" s="8">
        <v>7.8847306317666739</v>
      </c>
      <c r="D54" s="4">
        <v>2.0083475984512855</v>
      </c>
      <c r="E54" s="6">
        <v>-3.2196796009579674E-3</v>
      </c>
      <c r="F54" s="8">
        <v>1.0457000000000001</v>
      </c>
      <c r="G54" s="4">
        <v>1957486</v>
      </c>
      <c r="H54" s="7">
        <v>7.9010004999999994</v>
      </c>
      <c r="I54" s="4">
        <v>3483333.2227885001</v>
      </c>
      <c r="J54" s="8">
        <v>3.6675</v>
      </c>
      <c r="K54" s="8">
        <v>49.476999999999997</v>
      </c>
      <c r="L54" s="7">
        <v>1</v>
      </c>
      <c r="M54" s="8">
        <v>229.39429999999999</v>
      </c>
      <c r="N54" s="8">
        <v>14.448476752193258</v>
      </c>
      <c r="O54" s="8">
        <v>3.4137716451429878E-2</v>
      </c>
      <c r="P54" s="8">
        <v>5.9485790140360786E-4</v>
      </c>
      <c r="Q54" s="8">
        <v>0.89542550670008336</v>
      </c>
      <c r="R54" s="3">
        <v>1.3073150817382827E-2</v>
      </c>
      <c r="S54" s="33">
        <v>3.0077789031008589E-2</v>
      </c>
      <c r="T54" s="5">
        <v>45</v>
      </c>
      <c r="U54" s="34">
        <v>0.3312161666666667</v>
      </c>
      <c r="V54">
        <v>592.60561506302201</v>
      </c>
    </row>
    <row r="55" spans="1:22" x14ac:dyDescent="0.2">
      <c r="A55" s="2" t="s">
        <v>16</v>
      </c>
      <c r="B55" s="5">
        <v>2017</v>
      </c>
      <c r="C55" s="8">
        <v>7.7222449693024924</v>
      </c>
      <c r="D55" s="4">
        <v>5.6735933837024133</v>
      </c>
      <c r="E55" s="6">
        <v>-4.7738550277645932E-2</v>
      </c>
      <c r="F55" s="8">
        <v>1.0322</v>
      </c>
      <c r="G55" s="4">
        <v>1657746</v>
      </c>
      <c r="H55" s="7">
        <v>-15.312497799999999</v>
      </c>
      <c r="I55" s="4">
        <v>3762296.2470803997</v>
      </c>
      <c r="J55" s="8">
        <v>3.6694</v>
      </c>
      <c r="K55" s="8">
        <v>50.469099999999997</v>
      </c>
      <c r="L55" s="7">
        <v>1</v>
      </c>
      <c r="M55" s="8">
        <v>189.7817</v>
      </c>
      <c r="N55" s="8">
        <v>14.552086923527735</v>
      </c>
      <c r="O55" s="8">
        <v>3.5781434591495125E-2</v>
      </c>
      <c r="P55" s="8">
        <v>7.1725548399424516E-4</v>
      </c>
      <c r="Q55" s="8">
        <v>0.91258232698293862</v>
      </c>
      <c r="R55" s="3">
        <v>1.1752352076950159E-2</v>
      </c>
      <c r="S55" s="33">
        <v>0.10400088774297593</v>
      </c>
      <c r="T55" s="5">
        <v>44.4</v>
      </c>
      <c r="U55" s="34">
        <v>0.30180815833333335</v>
      </c>
      <c r="V55">
        <v>580.65674958785803</v>
      </c>
    </row>
    <row r="56" spans="1:22" x14ac:dyDescent="0.2">
      <c r="A56" s="2" t="s">
        <v>16</v>
      </c>
      <c r="B56" s="5">
        <v>2018</v>
      </c>
      <c r="C56" s="8">
        <v>7.7194266168252916</v>
      </c>
      <c r="D56" s="4">
        <v>0.14388842365424559</v>
      </c>
      <c r="E56" s="6">
        <v>1.5408044588542306E-2</v>
      </c>
      <c r="F56" s="8">
        <v>1.0178</v>
      </c>
      <c r="G56" s="4">
        <v>1828826</v>
      </c>
      <c r="H56" s="7">
        <v>10.320036999999999</v>
      </c>
      <c r="I56" s="4">
        <v>3844703.2728192001</v>
      </c>
      <c r="J56" s="8">
        <v>3.7601</v>
      </c>
      <c r="K56" s="8">
        <v>50.091200000000001</v>
      </c>
      <c r="L56" s="7">
        <v>1</v>
      </c>
      <c r="M56" s="8">
        <v>171.68430000000001</v>
      </c>
      <c r="N56" s="8">
        <v>14.59190563516418</v>
      </c>
      <c r="O56" s="8">
        <v>3.6697959953467918E-2</v>
      </c>
      <c r="P56" s="8">
        <v>6.5398015127921645E-4</v>
      </c>
      <c r="Q56" s="8">
        <v>1.0171487771675687</v>
      </c>
      <c r="R56" s="3">
        <v>1.1722367698486953E-2</v>
      </c>
      <c r="S56" s="33">
        <v>0.11043420027417027</v>
      </c>
      <c r="T56" s="5">
        <v>44.1</v>
      </c>
      <c r="U56" s="34">
        <v>0.21956370000000003</v>
      </c>
      <c r="V56">
        <v>555.44645839822601</v>
      </c>
    </row>
    <row r="57" spans="1:22" x14ac:dyDescent="0.2">
      <c r="A57" s="2" t="s">
        <v>16</v>
      </c>
      <c r="B57" s="5">
        <v>2019</v>
      </c>
      <c r="C57" s="8">
        <v>9.4351432477261543</v>
      </c>
      <c r="D57" s="4">
        <v>-1.47661958067437</v>
      </c>
      <c r="E57" s="6">
        <v>2.5663630847421758E-2</v>
      </c>
      <c r="F57" s="8">
        <v>0.9788</v>
      </c>
      <c r="G57" s="4">
        <v>1928773</v>
      </c>
      <c r="H57" s="7">
        <v>5.4650907000000002</v>
      </c>
      <c r="I57" s="4">
        <v>4133296.5987132001</v>
      </c>
      <c r="J57" s="8">
        <v>3.5478999999999998</v>
      </c>
      <c r="K57" s="8">
        <v>45.585599999999999</v>
      </c>
      <c r="L57" s="7">
        <v>1</v>
      </c>
      <c r="M57" s="8">
        <v>162.13759999999999</v>
      </c>
      <c r="N57" s="8">
        <v>14.6739991094841</v>
      </c>
      <c r="O57" s="8">
        <v>3.7067547213788195E-2</v>
      </c>
      <c r="P57" s="8">
        <v>6.2568373077157317E-4</v>
      </c>
      <c r="Q57" s="8">
        <v>0.85450380354577116</v>
      </c>
      <c r="R57" s="3">
        <v>1.1601855866988463E-2</v>
      </c>
      <c r="S57" s="33">
        <v>7.3452735650900214E-2</v>
      </c>
      <c r="T57" s="5">
        <v>43</v>
      </c>
      <c r="U57" s="34">
        <v>0.13867664166666668</v>
      </c>
      <c r="V57">
        <v>585.91101318036897</v>
      </c>
    </row>
    <row r="58" spans="1:22" x14ac:dyDescent="0.2">
      <c r="A58" s="2" t="s">
        <v>16</v>
      </c>
      <c r="B58" s="5">
        <v>2020</v>
      </c>
      <c r="C58" s="8">
        <v>6.2782480505785845</v>
      </c>
      <c r="D58" s="4">
        <v>-2.7164871351025592</v>
      </c>
      <c r="E58" s="6">
        <v>5.6609621508415843E-2</v>
      </c>
      <c r="F58" s="8">
        <v>0.97789999999999999</v>
      </c>
      <c r="G58" s="4">
        <v>1894535</v>
      </c>
      <c r="H58" s="7">
        <v>-1.7751182000000001</v>
      </c>
      <c r="I58" s="4">
        <v>4567186.9428866999</v>
      </c>
      <c r="J58" s="8">
        <v>3.4083999999999999</v>
      </c>
      <c r="K58" s="8">
        <v>45.846600000000002</v>
      </c>
      <c r="L58" s="7">
        <v>1</v>
      </c>
      <c r="M58" s="8">
        <v>136.69589999999999</v>
      </c>
      <c r="N58" s="8">
        <v>14.774620822925442</v>
      </c>
      <c r="O58" s="8">
        <v>3.6705418189753945E-2</v>
      </c>
      <c r="P58" s="8">
        <v>5.6601198867245862E-4</v>
      </c>
      <c r="Q58" s="8">
        <v>0.97818526525600424</v>
      </c>
      <c r="R58" s="3">
        <v>9.991253300068793E-3</v>
      </c>
      <c r="S58" s="33">
        <v>-8.0002386939810141E-2</v>
      </c>
      <c r="T58" s="5">
        <v>42.9</v>
      </c>
      <c r="U58" s="34">
        <v>0.15699912500000002</v>
      </c>
      <c r="V58">
        <v>575.58600451094503</v>
      </c>
    </row>
    <row r="59" spans="1:22" x14ac:dyDescent="0.2">
      <c r="A59" s="2" t="s">
        <v>16</v>
      </c>
      <c r="B59" s="5">
        <v>2021</v>
      </c>
      <c r="C59" s="8">
        <v>8.7718135365806535</v>
      </c>
      <c r="D59" s="4">
        <v>0.43418931587009107</v>
      </c>
      <c r="E59" s="6">
        <v>1.7389330740791874E-2</v>
      </c>
      <c r="F59" s="8">
        <v>0.97740000000000005</v>
      </c>
      <c r="G59" s="4">
        <v>1903079</v>
      </c>
      <c r="H59" s="7">
        <v>0.45098139999999998</v>
      </c>
      <c r="I59" s="4">
        <v>4744807.6449180003</v>
      </c>
      <c r="J59" s="8">
        <v>3.1528999999999998</v>
      </c>
      <c r="K59" s="8">
        <v>42.796199999999999</v>
      </c>
      <c r="L59" s="7">
        <v>1</v>
      </c>
      <c r="M59" s="8">
        <v>102.1782</v>
      </c>
      <c r="N59" s="8">
        <v>14.731444678260077</v>
      </c>
      <c r="O59" s="8">
        <v>3.8884607083458533E-2</v>
      </c>
      <c r="P59" s="8">
        <v>4.4074746975304946E-4</v>
      </c>
      <c r="Q59" s="8">
        <v>0.55168602606650019</v>
      </c>
      <c r="R59" s="3">
        <v>1.06252358106702E-2</v>
      </c>
      <c r="S59" s="33">
        <v>1.0212251572429743E-2</v>
      </c>
      <c r="T59" s="5">
        <v>43.4</v>
      </c>
      <c r="U59" s="34">
        <v>0.20469052499999998</v>
      </c>
      <c r="V59">
        <v>554.53067503310399</v>
      </c>
    </row>
    <row r="60" spans="1:22" x14ac:dyDescent="0.2">
      <c r="A60" s="2" t="s">
        <v>16</v>
      </c>
      <c r="B60" s="5">
        <v>2022</v>
      </c>
      <c r="C60" s="8">
        <v>8.0168427757964302</v>
      </c>
      <c r="D60" s="4">
        <v>1.9636863198747896</v>
      </c>
      <c r="E60" s="6">
        <v>-5.1725655835581641E-3</v>
      </c>
      <c r="F60" s="8">
        <v>0.95650000000000002</v>
      </c>
      <c r="G60" s="4">
        <v>1811006</v>
      </c>
      <c r="H60" s="7">
        <v>-4.8381071000000002</v>
      </c>
      <c r="I60" s="4">
        <v>5387554.2244282002</v>
      </c>
      <c r="J60" s="8">
        <v>3.2887</v>
      </c>
      <c r="K60" s="8">
        <v>47.198</v>
      </c>
      <c r="L60" s="7">
        <v>1</v>
      </c>
      <c r="M60" s="8">
        <v>114.8181</v>
      </c>
      <c r="N60" s="8">
        <v>14.785133815938924</v>
      </c>
      <c r="O60" s="8">
        <v>3.8944190264844372E-2</v>
      </c>
      <c r="P60" s="8">
        <v>3.8941135945727746E-4</v>
      </c>
      <c r="Q60" s="8">
        <v>0.58244092759459321</v>
      </c>
      <c r="R60" s="3">
        <v>1.080189171709561E-2</v>
      </c>
      <c r="S60" s="33">
        <v>-2.0229648711727066E-2</v>
      </c>
      <c r="T60" s="5">
        <v>44.8</v>
      </c>
      <c r="U60" s="34">
        <v>0.23766538333333329</v>
      </c>
      <c r="V60">
        <v>623.75970091118199</v>
      </c>
    </row>
    <row r="61" spans="1:22" x14ac:dyDescent="0.2">
      <c r="A61" s="5"/>
      <c r="B61" s="5"/>
      <c r="C61" s="8"/>
      <c r="D61" s="10"/>
      <c r="E61" s="9"/>
      <c r="F61" s="8"/>
      <c r="G61" s="4"/>
      <c r="H61" s="7"/>
      <c r="I61" s="4"/>
      <c r="J61" s="8"/>
      <c r="K61" s="8"/>
      <c r="L61" s="7"/>
      <c r="M61" s="8"/>
      <c r="N61" s="8"/>
      <c r="O61" s="8"/>
      <c r="P61" s="11"/>
      <c r="Q61" s="8"/>
      <c r="R61" s="3"/>
      <c r="S61" s="5"/>
      <c r="T61" s="5"/>
      <c r="U61" s="5"/>
      <c r="V61" s="5"/>
    </row>
    <row r="62" spans="1:22" x14ac:dyDescent="0.2">
      <c r="A62" s="2" t="s">
        <v>17</v>
      </c>
      <c r="B62" s="5">
        <v>2014</v>
      </c>
      <c r="C62" s="8">
        <v>3.6236993734634106</v>
      </c>
      <c r="D62" s="4">
        <v>1.4110065715274511</v>
      </c>
      <c r="E62" s="6">
        <v>3.2802583487198823E-3</v>
      </c>
      <c r="F62" s="8">
        <v>1.0714999999999999</v>
      </c>
      <c r="G62" s="4">
        <v>1427461</v>
      </c>
      <c r="H62" s="7">
        <v>21.068331100000002</v>
      </c>
      <c r="I62" s="4">
        <v>1809331.5288880002</v>
      </c>
      <c r="J62" s="8">
        <v>2.7742</v>
      </c>
      <c r="K62" s="8">
        <v>52.6629</v>
      </c>
      <c r="L62" s="7">
        <v>1</v>
      </c>
      <c r="M62" s="8">
        <v>193.40629999999999</v>
      </c>
      <c r="N62" s="8">
        <v>13.603779458676984</v>
      </c>
      <c r="O62" s="8">
        <v>5.3477009178380094E-2</v>
      </c>
      <c r="P62" s="8">
        <v>6.1745200100465133E-4</v>
      </c>
      <c r="Q62" s="8">
        <v>1.3268563338650103</v>
      </c>
      <c r="R62" s="3">
        <v>9.2862284028790675E-3</v>
      </c>
      <c r="S62" s="33">
        <v>-3.0915019181547123E-2</v>
      </c>
      <c r="T62" s="5">
        <v>47.2</v>
      </c>
      <c r="U62" s="34">
        <v>0.31237478333333329</v>
      </c>
      <c r="V62">
        <v>493.757329875312</v>
      </c>
    </row>
    <row r="63" spans="1:22" x14ac:dyDescent="0.2">
      <c r="A63" s="2" t="s">
        <v>17</v>
      </c>
      <c r="B63" s="5">
        <v>2015</v>
      </c>
      <c r="C63" s="8">
        <v>3.4177596417589817</v>
      </c>
      <c r="D63" s="4">
        <v>2.0053692900829549</v>
      </c>
      <c r="E63" s="6">
        <v>-2.6142100501656751E-3</v>
      </c>
      <c r="F63" s="8">
        <v>1.0349999999999999</v>
      </c>
      <c r="G63" s="4">
        <v>1261180</v>
      </c>
      <c r="H63" s="7">
        <v>-11.6487246</v>
      </c>
      <c r="I63" s="4">
        <v>2044238.4726127</v>
      </c>
      <c r="J63" s="8">
        <v>2.9977999999999998</v>
      </c>
      <c r="K63" s="8">
        <v>49.229100000000003</v>
      </c>
      <c r="L63" s="7">
        <v>1</v>
      </c>
      <c r="M63" s="8">
        <v>106.59780000000001</v>
      </c>
      <c r="N63" s="8">
        <v>13.639891228185482</v>
      </c>
      <c r="O63" s="8">
        <v>4.9976681806929553E-2</v>
      </c>
      <c r="P63" s="8">
        <v>5.7184262185580787E-4</v>
      </c>
      <c r="Q63" s="8">
        <v>1.1482864627891731</v>
      </c>
      <c r="R63" s="3">
        <v>9.0113467181895061E-3</v>
      </c>
      <c r="S63" s="33">
        <v>-1.4834801845660568E-2</v>
      </c>
      <c r="T63" s="5">
        <v>49.2</v>
      </c>
      <c r="U63" s="34">
        <v>0.24796339999999997</v>
      </c>
      <c r="V63">
        <v>591.21169798260996</v>
      </c>
    </row>
    <row r="64" spans="1:22" x14ac:dyDescent="0.2">
      <c r="A64" s="2" t="s">
        <v>17</v>
      </c>
      <c r="B64" s="5">
        <v>2016</v>
      </c>
      <c r="C64" s="8">
        <v>3.1015320858054669</v>
      </c>
      <c r="D64" s="4">
        <v>0.13201024624573632</v>
      </c>
      <c r="E64" s="6">
        <v>1.6568166221848302E-2</v>
      </c>
      <c r="F64" s="8">
        <v>1.0104</v>
      </c>
      <c r="G64" s="4">
        <v>1349409</v>
      </c>
      <c r="H64" s="7">
        <v>6.995750000000001</v>
      </c>
      <c r="I64" s="4">
        <v>1760474.143104</v>
      </c>
      <c r="J64" s="8">
        <v>3.1642000000000001</v>
      </c>
      <c r="K64" s="8">
        <v>47.097200000000001</v>
      </c>
      <c r="L64" s="7">
        <v>1</v>
      </c>
      <c r="M64" s="8">
        <v>106.9624</v>
      </c>
      <c r="N64" s="8">
        <v>13.589006601808867</v>
      </c>
      <c r="O64" s="8">
        <v>4.2275881963794233E-2</v>
      </c>
      <c r="P64" s="8">
        <v>5.7919000823415613E-4</v>
      </c>
      <c r="Q64" s="8">
        <v>1.0887561311455183</v>
      </c>
      <c r="R64" s="3">
        <v>9.9080626554976861E-3</v>
      </c>
      <c r="S64" s="33">
        <v>3.0077789031008589E-2</v>
      </c>
      <c r="T64" s="5">
        <v>45</v>
      </c>
      <c r="U64" s="34">
        <v>0.3312161666666667</v>
      </c>
      <c r="V64">
        <v>592.60561506302201</v>
      </c>
    </row>
    <row r="65" spans="1:22" x14ac:dyDescent="0.2">
      <c r="A65" s="2" t="s">
        <v>17</v>
      </c>
      <c r="B65" s="5">
        <v>2017</v>
      </c>
      <c r="C65" s="8">
        <v>3.2534934130120781</v>
      </c>
      <c r="D65" s="4">
        <v>-9.1930468122349023</v>
      </c>
      <c r="E65" s="6">
        <v>0.10870607194333846</v>
      </c>
      <c r="F65" s="8">
        <v>1.0504</v>
      </c>
      <c r="G65" s="4">
        <v>1281421</v>
      </c>
      <c r="H65" s="7">
        <v>-5.0383537999999994</v>
      </c>
      <c r="I65" s="4">
        <v>1752130.9518984</v>
      </c>
      <c r="J65" s="8">
        <v>3.1200999999999999</v>
      </c>
      <c r="K65" s="8">
        <v>47.5242</v>
      </c>
      <c r="L65" s="7">
        <v>1</v>
      </c>
      <c r="M65" s="8">
        <v>108.7872</v>
      </c>
      <c r="N65" s="8">
        <v>13.645755828385719</v>
      </c>
      <c r="O65" s="8">
        <v>3.8809802674248488E-2</v>
      </c>
      <c r="P65" s="8">
        <v>6.5003188295761124E-4</v>
      </c>
      <c r="Q65" s="8">
        <v>0.9299168897631559</v>
      </c>
      <c r="R65" s="3">
        <v>1.0522434869496533E-2</v>
      </c>
      <c r="S65" s="33">
        <v>0.10400088774297593</v>
      </c>
      <c r="T65" s="5">
        <v>44.4</v>
      </c>
      <c r="U65" s="34">
        <v>0.30180815833333335</v>
      </c>
      <c r="V65">
        <v>580.65674958785803</v>
      </c>
    </row>
    <row r="66" spans="1:22" x14ac:dyDescent="0.2">
      <c r="A66" s="2" t="s">
        <v>17</v>
      </c>
      <c r="B66" s="5">
        <v>2018</v>
      </c>
      <c r="C66" s="8">
        <v>4.0426394696554864</v>
      </c>
      <c r="D66" s="4">
        <v>2.8864741368642064</v>
      </c>
      <c r="E66" s="6">
        <v>-1.179591656587386E-2</v>
      </c>
      <c r="F66" s="8">
        <v>0.99739999999999995</v>
      </c>
      <c r="G66" s="4">
        <v>1097953</v>
      </c>
      <c r="H66" s="7">
        <v>-14.3175428</v>
      </c>
      <c r="I66" s="4">
        <v>2172035.2804980003</v>
      </c>
      <c r="J66" s="8">
        <v>2.9015</v>
      </c>
      <c r="K66" s="8">
        <v>36.421999999999997</v>
      </c>
      <c r="L66" s="7">
        <v>1</v>
      </c>
      <c r="M66" s="8">
        <v>104.5688</v>
      </c>
      <c r="N66" s="8">
        <v>13.700899958556374</v>
      </c>
      <c r="O66" s="8">
        <v>4.8089560357456193E-2</v>
      </c>
      <c r="P66" s="8">
        <v>5.2807733103029904E-4</v>
      </c>
      <c r="Q66" s="8">
        <v>0.73813994858242726</v>
      </c>
      <c r="R66" s="3">
        <v>1.0556344572669168E-2</v>
      </c>
      <c r="S66" s="33">
        <v>0.11043420027417027</v>
      </c>
      <c r="T66" s="5">
        <v>44.1</v>
      </c>
      <c r="U66" s="34">
        <v>0.21956370000000003</v>
      </c>
      <c r="V66">
        <v>555.44645839822601</v>
      </c>
    </row>
    <row r="67" spans="1:22" x14ac:dyDescent="0.2">
      <c r="A67" s="2" t="s">
        <v>17</v>
      </c>
      <c r="B67" s="5">
        <v>2019</v>
      </c>
      <c r="C67" s="8">
        <v>1.7596680837431109</v>
      </c>
      <c r="D67" s="4">
        <v>0.90832482709464479</v>
      </c>
      <c r="E67" s="6">
        <v>8.7331171675836469E-3</v>
      </c>
      <c r="F67" s="8">
        <v>0.98229999999999995</v>
      </c>
      <c r="G67" s="4">
        <v>996322</v>
      </c>
      <c r="H67" s="7">
        <v>-9.2564071999999999</v>
      </c>
      <c r="I67" s="4">
        <v>3774541.9056074996</v>
      </c>
      <c r="J67" s="8">
        <v>2.0162</v>
      </c>
      <c r="K67" s="8">
        <v>52.3444</v>
      </c>
      <c r="L67" s="7">
        <v>1</v>
      </c>
      <c r="M67" s="8">
        <v>102.2842</v>
      </c>
      <c r="N67" s="8">
        <v>14.435113601616296</v>
      </c>
      <c r="O67" s="8">
        <v>3.266517825537165E-2</v>
      </c>
      <c r="P67" s="8">
        <v>2.4259182464346217E-4</v>
      </c>
      <c r="Q67" s="8">
        <v>1.5286513856134158</v>
      </c>
      <c r="R67" s="3">
        <v>9.9578952879398677E-3</v>
      </c>
      <c r="S67" s="33">
        <v>7.3452735650900214E-2</v>
      </c>
      <c r="T67" s="5">
        <v>43</v>
      </c>
      <c r="U67" s="34">
        <v>0.13867664166666668</v>
      </c>
      <c r="V67">
        <v>585.91101318036897</v>
      </c>
    </row>
    <row r="68" spans="1:22" x14ac:dyDescent="0.2">
      <c r="A68" s="2" t="s">
        <v>17</v>
      </c>
      <c r="B68" s="5">
        <v>2020</v>
      </c>
      <c r="C68" s="8">
        <v>1.8565300366072544</v>
      </c>
      <c r="D68" s="4">
        <v>2.0879228864676724</v>
      </c>
      <c r="E68" s="6">
        <v>1.7059052021052509E-2</v>
      </c>
      <c r="F68" s="8">
        <v>0.94440000000000002</v>
      </c>
      <c r="G68" s="4">
        <v>669956</v>
      </c>
      <c r="H68" s="7">
        <v>-32.757080500000001</v>
      </c>
      <c r="I68" s="4">
        <v>3959342.5417849999</v>
      </c>
      <c r="J68" s="8">
        <v>2.9296000000000002</v>
      </c>
      <c r="K68" s="8">
        <v>46.644799999999996</v>
      </c>
      <c r="L68" s="7">
        <v>1</v>
      </c>
      <c r="M68" s="8">
        <v>82.637600000000006</v>
      </c>
      <c r="N68" s="8">
        <v>14.407915337385937</v>
      </c>
      <c r="O68" s="8">
        <v>3.710743468636462E-2</v>
      </c>
      <c r="P68" s="8">
        <v>2.3724385158268771E-4</v>
      </c>
      <c r="Q68" s="8">
        <v>1.546166065978019</v>
      </c>
      <c r="R68" s="3">
        <v>1.0196875095689463E-2</v>
      </c>
      <c r="S68" s="33">
        <v>-8.0002386939810141E-2</v>
      </c>
      <c r="T68" s="5">
        <v>42.9</v>
      </c>
      <c r="U68" s="34">
        <v>0.15699912500000002</v>
      </c>
      <c r="V68">
        <v>575.58600451094503</v>
      </c>
    </row>
    <row r="69" spans="1:22" x14ac:dyDescent="0.2">
      <c r="A69" s="2" t="s">
        <v>17</v>
      </c>
      <c r="B69" s="5">
        <v>2021</v>
      </c>
      <c r="C69" s="8">
        <v>1.9744381625842531</v>
      </c>
      <c r="D69" s="4">
        <v>3.1602037419826421</v>
      </c>
      <c r="E69" s="6">
        <v>-1.3808217535191854E-2</v>
      </c>
      <c r="F69" s="8">
        <v>0.96089999999999998</v>
      </c>
      <c r="G69" s="4">
        <v>700600</v>
      </c>
      <c r="H69" s="7">
        <v>4.5740316999999999</v>
      </c>
      <c r="I69" s="4">
        <v>4212182.3494896004</v>
      </c>
      <c r="J69" s="8">
        <v>2.7</v>
      </c>
      <c r="K69" s="8">
        <v>47.888300000000001</v>
      </c>
      <c r="L69" s="7">
        <v>1</v>
      </c>
      <c r="M69" s="8">
        <v>75.474199999999996</v>
      </c>
      <c r="N69" s="8">
        <v>14.380358766593824</v>
      </c>
      <c r="O69" s="8">
        <v>3.9481501799122354E-2</v>
      </c>
      <c r="P69" s="8">
        <v>2.7447437368127497E-4</v>
      </c>
      <c r="Q69" s="8">
        <v>1.0627380245530367</v>
      </c>
      <c r="R69" s="3">
        <v>1.0302333771797647E-2</v>
      </c>
      <c r="S69" s="33">
        <v>1.0212251572429743E-2</v>
      </c>
      <c r="T69" s="5">
        <v>43.4</v>
      </c>
      <c r="U69" s="34">
        <v>0.20469052499999998</v>
      </c>
      <c r="V69">
        <v>554.53067503310399</v>
      </c>
    </row>
    <row r="70" spans="1:22" x14ac:dyDescent="0.2">
      <c r="A70" s="2" t="s">
        <v>17</v>
      </c>
      <c r="B70" s="5">
        <v>2022</v>
      </c>
      <c r="C70" s="8">
        <v>2.5459841042538569</v>
      </c>
      <c r="D70" s="4">
        <v>2.9193770124413256</v>
      </c>
      <c r="E70" s="6">
        <v>-1.3571032980098676E-2</v>
      </c>
      <c r="F70" s="8">
        <v>0.9556</v>
      </c>
      <c r="G70" s="4">
        <v>556748</v>
      </c>
      <c r="H70" s="7">
        <v>-20.532686299999998</v>
      </c>
      <c r="I70" s="4">
        <v>4170673.0691212001</v>
      </c>
      <c r="J70" s="8">
        <v>2.665</v>
      </c>
      <c r="K70" s="8">
        <v>45.6661</v>
      </c>
      <c r="L70" s="7">
        <v>1</v>
      </c>
      <c r="M70" s="8">
        <v>68.691000000000003</v>
      </c>
      <c r="N70" s="8">
        <v>14.417791053557909</v>
      </c>
      <c r="O70" s="8">
        <v>4.1469909205539439E-2</v>
      </c>
      <c r="P70" s="8">
        <v>2.458094884722925E-4</v>
      </c>
      <c r="Q70" s="8">
        <v>0.81047508904857168</v>
      </c>
      <c r="R70" s="3">
        <v>9.8902810780049227E-3</v>
      </c>
      <c r="S70" s="33">
        <v>-2.0229648711727066E-2</v>
      </c>
      <c r="T70" s="5">
        <v>44.8</v>
      </c>
      <c r="U70" s="34">
        <v>0.23766538333333329</v>
      </c>
      <c r="V70">
        <v>623.75970091118199</v>
      </c>
    </row>
    <row r="71" spans="1:22" x14ac:dyDescent="0.2">
      <c r="A71" s="2"/>
      <c r="B71" s="5"/>
      <c r="C71" s="8"/>
      <c r="D71" s="4"/>
      <c r="E71" s="6"/>
      <c r="F71" s="8"/>
      <c r="G71" s="4"/>
      <c r="H71" s="7"/>
      <c r="I71" s="4"/>
      <c r="J71" s="8"/>
      <c r="K71" s="8"/>
      <c r="L71" s="7"/>
      <c r="M71" s="8"/>
      <c r="N71" s="8"/>
      <c r="O71" s="8"/>
      <c r="P71" s="8"/>
      <c r="Q71" s="8"/>
      <c r="R71" s="3"/>
      <c r="S71" s="33"/>
      <c r="T71" s="5"/>
      <c r="U71" s="34"/>
      <c r="V71"/>
    </row>
    <row r="72" spans="1:22" x14ac:dyDescent="0.2">
      <c r="A72" s="2" t="s">
        <v>20</v>
      </c>
      <c r="B72" s="5">
        <v>2014</v>
      </c>
      <c r="C72" s="8">
        <v>12.41819855588103</v>
      </c>
      <c r="D72" s="4">
        <v>1.3421275056259012</v>
      </c>
      <c r="E72" s="6">
        <v>-4.8658356223128373E-3</v>
      </c>
      <c r="F72" s="8">
        <v>1.1233</v>
      </c>
      <c r="G72" s="4">
        <v>35291232</v>
      </c>
      <c r="H72" s="7">
        <v>18.112931199999998</v>
      </c>
      <c r="I72" s="4">
        <v>148867.86478040001</v>
      </c>
      <c r="J72" s="8">
        <v>2.0750999999999999</v>
      </c>
      <c r="K72" s="8">
        <v>30.035499999999999</v>
      </c>
      <c r="L72" s="7">
        <v>1</v>
      </c>
      <c r="M72" s="8">
        <v>118.2906</v>
      </c>
      <c r="N72" s="8">
        <v>12.753390071973339</v>
      </c>
      <c r="O72" s="8">
        <v>7.4362710610242798E-3</v>
      </c>
      <c r="P72" s="8">
        <v>7.4239119020119227E-3</v>
      </c>
      <c r="Q72" s="8">
        <v>1.1542946674575858</v>
      </c>
      <c r="R72" s="3">
        <v>8.8610641353495181E-3</v>
      </c>
      <c r="S72" s="33">
        <v>4.5749844464168611E-2</v>
      </c>
      <c r="T72" s="5">
        <v>47.6</v>
      </c>
      <c r="U72" s="34">
        <v>3.642151666666666E-2</v>
      </c>
      <c r="V72">
        <v>3.2728597464304698</v>
      </c>
    </row>
    <row r="73" spans="1:22" x14ac:dyDescent="0.2">
      <c r="A73" s="2" t="s">
        <v>20</v>
      </c>
      <c r="B73" s="5">
        <v>2015</v>
      </c>
      <c r="C73" s="8">
        <v>12.798104054386682</v>
      </c>
      <c r="D73" s="4">
        <v>2.1843882157035162</v>
      </c>
      <c r="E73" s="6">
        <v>-1.0128920984079762E-2</v>
      </c>
      <c r="F73" s="8">
        <v>1.1107</v>
      </c>
      <c r="G73" s="4">
        <v>46201455</v>
      </c>
      <c r="H73" s="7">
        <v>30.914826099999999</v>
      </c>
      <c r="I73" s="4">
        <v>135172.54934959998</v>
      </c>
      <c r="J73" s="8">
        <v>1.9671000000000001</v>
      </c>
      <c r="K73" s="8">
        <v>30.544499999999999</v>
      </c>
      <c r="L73" s="7">
        <v>1</v>
      </c>
      <c r="M73" s="8">
        <v>72.918800000000005</v>
      </c>
      <c r="N73" s="8">
        <v>12.804244656663551</v>
      </c>
      <c r="O73" s="8">
        <v>5.9703842851772538E-3</v>
      </c>
      <c r="P73" s="8">
        <v>5.6336632972659251E-3</v>
      </c>
      <c r="Q73" s="8">
        <v>1.2093860148880957</v>
      </c>
      <c r="R73" s="3">
        <v>9.079876586565715E-3</v>
      </c>
      <c r="S73" s="33">
        <v>-0.10859218146637346</v>
      </c>
      <c r="T73" s="5">
        <v>49.2</v>
      </c>
      <c r="U73" s="34">
        <v>0.13826017499999999</v>
      </c>
      <c r="V73">
        <v>3.9055002630276801</v>
      </c>
    </row>
    <row r="74" spans="1:22" x14ac:dyDescent="0.2">
      <c r="A74" s="2" t="s">
        <v>20</v>
      </c>
      <c r="B74" s="5">
        <v>2016</v>
      </c>
      <c r="C74" s="8">
        <v>12.606726418841415</v>
      </c>
      <c r="D74" s="4">
        <v>5.7971372776150156</v>
      </c>
      <c r="E74" s="6">
        <v>-4.9345714598910594E-2</v>
      </c>
      <c r="F74" s="8">
        <v>1.1103000000000001</v>
      </c>
      <c r="G74" s="4">
        <v>46722080</v>
      </c>
      <c r="H74" s="7">
        <v>1.1268585</v>
      </c>
      <c r="I74" s="4">
        <v>148942.7025094</v>
      </c>
      <c r="J74" s="8">
        <v>2.0169000000000001</v>
      </c>
      <c r="K74" s="8">
        <v>32.250799999999998</v>
      </c>
      <c r="L74" s="7">
        <v>1</v>
      </c>
      <c r="M74" s="8">
        <v>78.3767</v>
      </c>
      <c r="N74" s="8">
        <v>12.848065537830243</v>
      </c>
      <c r="O74" s="8">
        <v>5.2047974470142595E-3</v>
      </c>
      <c r="P74" s="8">
        <v>2.9091680507863245E-3</v>
      </c>
      <c r="Q74" s="8">
        <v>1.2433282549970843</v>
      </c>
      <c r="R74" s="3">
        <v>9.4833574294433259E-3</v>
      </c>
      <c r="S74" s="33">
        <v>-3.3001487623251439E-4</v>
      </c>
      <c r="T74" s="5">
        <v>51.5</v>
      </c>
      <c r="U74" s="34">
        <v>8.0427099999999987E-2</v>
      </c>
      <c r="V74">
        <v>4.14830066287879</v>
      </c>
    </row>
    <row r="75" spans="1:22" x14ac:dyDescent="0.2">
      <c r="A75" s="2" t="s">
        <v>20</v>
      </c>
      <c r="B75" s="5">
        <v>2017</v>
      </c>
      <c r="C75" s="8">
        <v>12.734327337113207</v>
      </c>
      <c r="D75" s="4">
        <v>-8.3334358771716355E-2</v>
      </c>
      <c r="E75" s="6">
        <v>5.4151822169636434E-3</v>
      </c>
      <c r="F75" s="8">
        <v>1.1085</v>
      </c>
      <c r="G75" s="4">
        <v>35759279</v>
      </c>
      <c r="H75" s="7">
        <v>-23.4638548</v>
      </c>
      <c r="I75" s="4">
        <v>147556.6230051</v>
      </c>
      <c r="J75" s="8">
        <v>2.0636000000000001</v>
      </c>
      <c r="K75" s="8">
        <v>31.847200000000001</v>
      </c>
      <c r="L75" s="7">
        <v>1</v>
      </c>
      <c r="M75" s="8">
        <v>77.988200000000006</v>
      </c>
      <c r="N75" s="8">
        <v>12.88734015893904</v>
      </c>
      <c r="O75" s="8">
        <v>4.6284606094090424E-3</v>
      </c>
      <c r="P75" s="8">
        <v>3.9915102637978709E-3</v>
      </c>
      <c r="Q75" s="8">
        <v>1.1039657428260032</v>
      </c>
      <c r="R75" s="3">
        <v>9.5362327587799351E-3</v>
      </c>
      <c r="S75" s="33">
        <v>5.9264581238536021E-2</v>
      </c>
      <c r="T75" s="5">
        <v>51.9</v>
      </c>
      <c r="U75" s="34">
        <v>7.8288908333333337E-2</v>
      </c>
      <c r="V75">
        <v>4.3004408776112397</v>
      </c>
    </row>
    <row r="76" spans="1:22" x14ac:dyDescent="0.2">
      <c r="A76" s="2" t="s">
        <v>20</v>
      </c>
      <c r="B76" s="5">
        <v>2018</v>
      </c>
      <c r="C76" s="8">
        <v>12.430716861960972</v>
      </c>
      <c r="D76" s="4">
        <v>-0.87853595208273128</v>
      </c>
      <c r="E76" s="6">
        <v>1.8565307096705487E-2</v>
      </c>
      <c r="F76" s="8">
        <v>1.1314</v>
      </c>
      <c r="G76" s="4">
        <v>37783248</v>
      </c>
      <c r="H76" s="7">
        <v>5.6599826999999996</v>
      </c>
      <c r="I76" s="4">
        <v>162085.54550839998</v>
      </c>
      <c r="J76" s="8">
        <v>2.0053000000000001</v>
      </c>
      <c r="K76" s="8">
        <v>32.999200000000002</v>
      </c>
      <c r="L76" s="7">
        <v>1</v>
      </c>
      <c r="M76" s="8">
        <v>77.121799999999993</v>
      </c>
      <c r="N76" s="8">
        <v>12.947279442522142</v>
      </c>
      <c r="O76" s="8">
        <v>6.4368195280868736E-3</v>
      </c>
      <c r="P76" s="8">
        <v>5.4295134238768802E-3</v>
      </c>
      <c r="Q76" s="8">
        <v>1.2258093565100483</v>
      </c>
      <c r="R76" s="3">
        <v>9.355512536808613E-3</v>
      </c>
      <c r="S76" s="33">
        <v>0.12434534107537239</v>
      </c>
      <c r="T76" s="5">
        <v>53.5</v>
      </c>
      <c r="U76" s="34">
        <v>6.7443749999999997E-2</v>
      </c>
      <c r="V76">
        <v>4.0351301370680597</v>
      </c>
    </row>
    <row r="77" spans="1:22" x14ac:dyDescent="0.2">
      <c r="A77" s="2" t="s">
        <v>20</v>
      </c>
      <c r="B77" s="5">
        <v>2019</v>
      </c>
      <c r="C77" s="8">
        <v>11.789699651804032</v>
      </c>
      <c r="D77" s="4">
        <v>363.64377421504167</v>
      </c>
      <c r="E77" s="6">
        <v>-3.6647357339500761</v>
      </c>
      <c r="F77" s="8">
        <v>1.0736000000000001</v>
      </c>
      <c r="G77" s="4">
        <v>32686973</v>
      </c>
      <c r="H77" s="7">
        <v>-13.488186599999999</v>
      </c>
      <c r="I77" s="4">
        <v>160493.61429</v>
      </c>
      <c r="J77" s="8">
        <v>1.8796999999999999</v>
      </c>
      <c r="K77" s="8">
        <v>34.380600000000001</v>
      </c>
      <c r="L77" s="7">
        <v>1</v>
      </c>
      <c r="M77" s="8">
        <v>63.402000000000001</v>
      </c>
      <c r="N77" s="8">
        <v>12.978101879696005</v>
      </c>
      <c r="O77" s="8">
        <v>6.0276466762525134E-3</v>
      </c>
      <c r="P77" s="8">
        <v>4.4748841591635349E-3</v>
      </c>
      <c r="Q77" s="8">
        <v>1.2420942596926445</v>
      </c>
      <c r="R77" s="3">
        <v>9.3526918728208744E-3</v>
      </c>
      <c r="S77" s="33">
        <v>1.7806883043984915E-2</v>
      </c>
      <c r="T77" s="5">
        <v>51.6</v>
      </c>
      <c r="U77" s="34">
        <v>3.4638733333333338E-2</v>
      </c>
      <c r="V77">
        <v>4.1424697356973104</v>
      </c>
    </row>
    <row r="78" spans="1:22" x14ac:dyDescent="0.2">
      <c r="A78" s="2" t="s">
        <v>20</v>
      </c>
      <c r="B78" s="5">
        <v>2020</v>
      </c>
      <c r="C78" s="8">
        <v>10.211142814904976</v>
      </c>
      <c r="D78" s="4">
        <v>3.2435219194519247</v>
      </c>
      <c r="E78" s="6">
        <v>-8.0715057112579827E-3</v>
      </c>
      <c r="F78" s="8">
        <v>1.0725</v>
      </c>
      <c r="G78" s="4">
        <v>39193638</v>
      </c>
      <c r="H78" s="7">
        <v>19.905988199999999</v>
      </c>
      <c r="I78" s="4">
        <v>125133.5292191</v>
      </c>
      <c r="J78" s="8">
        <v>1.7392000000000001</v>
      </c>
      <c r="K78" s="8">
        <v>34.68</v>
      </c>
      <c r="L78" s="7">
        <v>1</v>
      </c>
      <c r="M78" s="8">
        <v>60.918599999999998</v>
      </c>
      <c r="N78" s="8">
        <v>13.019792006241971</v>
      </c>
      <c r="O78" s="8">
        <v>8.2408097454837043E-3</v>
      </c>
      <c r="P78" s="8">
        <v>6.7873863343458005E-3</v>
      </c>
      <c r="Q78" s="8">
        <v>1.1148363245233013</v>
      </c>
      <c r="R78" s="3">
        <v>9.4473538167329108E-3</v>
      </c>
      <c r="S78" s="33">
        <v>-7.6232140578039884E-2</v>
      </c>
      <c r="T78" s="5">
        <v>52.4</v>
      </c>
      <c r="U78" s="34">
        <v>0.14886964166666666</v>
      </c>
      <c r="V78">
        <v>4.2034819485188404</v>
      </c>
    </row>
    <row r="79" spans="1:22" x14ac:dyDescent="0.2">
      <c r="A79" s="2" t="s">
        <v>20</v>
      </c>
      <c r="B79" s="5">
        <v>2021</v>
      </c>
      <c r="C79" s="8">
        <v>11.352603778763791</v>
      </c>
      <c r="D79" s="4">
        <v>0.82321814731183973</v>
      </c>
      <c r="E79" s="6">
        <v>2.5569022543084417E-3</v>
      </c>
      <c r="F79" s="8">
        <v>1.0704</v>
      </c>
      <c r="G79" s="4">
        <v>37367943</v>
      </c>
      <c r="H79" s="7">
        <v>-4.6581412000000002</v>
      </c>
      <c r="I79" s="4">
        <v>110178.26423550001</v>
      </c>
      <c r="J79" s="8">
        <v>1.9303999999999999</v>
      </c>
      <c r="K79" s="8">
        <v>31.657299999999999</v>
      </c>
      <c r="L79" s="7">
        <v>1</v>
      </c>
      <c r="M79" s="8">
        <v>53.628300000000003</v>
      </c>
      <c r="N79" s="8">
        <v>13.044919442493766</v>
      </c>
      <c r="O79" s="8">
        <v>1.110053642025052E-2</v>
      </c>
      <c r="P79" s="8">
        <v>5.9022605569982048E-3</v>
      </c>
      <c r="Q79" s="8">
        <v>0.69987704882453028</v>
      </c>
      <c r="R79" s="3">
        <v>9.4119967994815805E-3</v>
      </c>
      <c r="S79" s="33">
        <v>0.10565502625103547</v>
      </c>
      <c r="T79" s="5">
        <v>52.8</v>
      </c>
      <c r="U79" s="34">
        <v>0.22783804166666666</v>
      </c>
      <c r="V79">
        <v>4.1432975981772104</v>
      </c>
    </row>
    <row r="80" spans="1:22" x14ac:dyDescent="0.2">
      <c r="A80" s="2" t="s">
        <v>20</v>
      </c>
      <c r="B80" s="5">
        <v>2022</v>
      </c>
      <c r="C80" s="8">
        <v>11.690736698571513</v>
      </c>
      <c r="D80" s="4">
        <v>-3.054639948582186</v>
      </c>
      <c r="E80" s="6">
        <v>4.3252258613254185E-2</v>
      </c>
      <c r="F80" s="8">
        <v>1.0683</v>
      </c>
      <c r="G80" s="4">
        <v>36753191</v>
      </c>
      <c r="H80" s="7">
        <v>-1.6451319999999998</v>
      </c>
      <c r="I80" s="4">
        <v>158386.67384150001</v>
      </c>
      <c r="J80" s="8">
        <v>2.0455999999999999</v>
      </c>
      <c r="K80" s="8">
        <v>31.615600000000001</v>
      </c>
      <c r="L80" s="7">
        <v>1</v>
      </c>
      <c r="M80" s="8">
        <v>74.890100000000004</v>
      </c>
      <c r="N80" s="8">
        <v>13.108797302921513</v>
      </c>
      <c r="O80" s="8">
        <v>1.143251042804877E-2</v>
      </c>
      <c r="P80" s="8">
        <v>6.9383132492324929E-3</v>
      </c>
      <c r="Q80" s="8">
        <v>0.65332102311135765</v>
      </c>
      <c r="R80" s="3">
        <v>9.5483671925839977E-3</v>
      </c>
      <c r="S80" s="33">
        <v>8.9347299498855171E-2</v>
      </c>
      <c r="T80" s="5">
        <v>53</v>
      </c>
      <c r="U80" s="34">
        <v>0.18707895833333332</v>
      </c>
      <c r="V80">
        <v>4.4010763454007202</v>
      </c>
    </row>
    <row r="81" spans="1:22" x14ac:dyDescent="0.2">
      <c r="A81" s="5"/>
      <c r="B81" s="5"/>
      <c r="C81" s="8"/>
      <c r="D81" s="10"/>
      <c r="E81" s="9"/>
      <c r="F81" s="8"/>
      <c r="G81" s="4"/>
      <c r="H81" s="7"/>
      <c r="I81" s="4"/>
      <c r="J81" s="8"/>
      <c r="K81" s="8"/>
      <c r="L81" s="7"/>
      <c r="M81" s="8"/>
      <c r="N81" s="8"/>
      <c r="O81" s="8"/>
      <c r="P81" s="11"/>
      <c r="Q81" s="8"/>
      <c r="R81" s="3"/>
      <c r="S81" s="5"/>
      <c r="T81" s="5"/>
      <c r="U81" s="5"/>
      <c r="V81" s="5"/>
    </row>
    <row r="82" spans="1:22" x14ac:dyDescent="0.2">
      <c r="A82" s="2" t="s">
        <v>21</v>
      </c>
      <c r="B82" s="5">
        <v>2014</v>
      </c>
      <c r="C82" s="8">
        <v>2.4656192324411594</v>
      </c>
      <c r="D82" s="4">
        <v>1.6563044127176643</v>
      </c>
      <c r="E82" s="6">
        <v>-4.3032697828539242E-3</v>
      </c>
      <c r="F82" s="8">
        <v>1.0228999999999999</v>
      </c>
      <c r="G82" s="4">
        <v>607791014</v>
      </c>
      <c r="H82" s="7">
        <v>35.8283384</v>
      </c>
      <c r="I82" s="4">
        <v>818248.71254920005</v>
      </c>
      <c r="J82" s="8">
        <v>2.6507000000000001</v>
      </c>
      <c r="K82" s="8">
        <v>59.881500000000003</v>
      </c>
      <c r="L82" s="7">
        <v>1</v>
      </c>
      <c r="M82" s="8">
        <v>177.6327</v>
      </c>
      <c r="N82" s="8">
        <v>12.933998853005107</v>
      </c>
      <c r="O82" s="8">
        <v>2.5550663598038054E-2</v>
      </c>
      <c r="P82" s="8">
        <v>2.0235276960396491E-2</v>
      </c>
      <c r="Q82" s="8">
        <v>1.7826463315089802</v>
      </c>
      <c r="R82" s="3">
        <v>9.3870827681256687E-3</v>
      </c>
      <c r="S82" s="33">
        <v>4.5749844464168611E-2</v>
      </c>
      <c r="T82" s="5">
        <v>47.6</v>
      </c>
      <c r="U82" s="34">
        <v>3.642151666666666E-2</v>
      </c>
      <c r="V82">
        <v>3.2728597464304698</v>
      </c>
    </row>
    <row r="83" spans="1:22" x14ac:dyDescent="0.2">
      <c r="A83" s="2" t="s">
        <v>21</v>
      </c>
      <c r="B83" s="5">
        <v>2015</v>
      </c>
      <c r="C83" s="8">
        <v>2.0699231311861057</v>
      </c>
      <c r="D83" s="4">
        <v>4.9111945741270571</v>
      </c>
      <c r="E83" s="6">
        <v>-2.7667237823457289E-2</v>
      </c>
      <c r="F83" s="8">
        <v>0.99490000000000001</v>
      </c>
      <c r="G83" s="4">
        <v>790006240</v>
      </c>
      <c r="H83" s="7">
        <v>29.979914400000002</v>
      </c>
      <c r="I83" s="4">
        <v>908153.02885250002</v>
      </c>
      <c r="J83" s="8">
        <v>2.5562999999999998</v>
      </c>
      <c r="K83" s="8">
        <v>60.211599999999997</v>
      </c>
      <c r="L83" s="7">
        <v>1</v>
      </c>
      <c r="M83" s="8">
        <v>156.8186</v>
      </c>
      <c r="N83" s="8">
        <v>13.042404476052278</v>
      </c>
      <c r="O83" s="8">
        <v>2.5810448715187884E-2</v>
      </c>
      <c r="P83" s="8">
        <v>1.2485112236679427E-2</v>
      </c>
      <c r="Q83" s="8">
        <v>2.288676427680894</v>
      </c>
      <c r="R83" s="3">
        <v>9.3876779712601093E-3</v>
      </c>
      <c r="S83" s="33">
        <v>-0.10859218146637346</v>
      </c>
      <c r="T83" s="5">
        <v>49.2</v>
      </c>
      <c r="U83" s="34">
        <v>0.13826017499999999</v>
      </c>
      <c r="V83">
        <v>3.9055002630276801</v>
      </c>
    </row>
    <row r="84" spans="1:22" x14ac:dyDescent="0.2">
      <c r="A84" s="2" t="s">
        <v>21</v>
      </c>
      <c r="B84" s="5">
        <v>2016</v>
      </c>
      <c r="C84" s="8">
        <v>2.3686338380951049</v>
      </c>
      <c r="D84" s="4">
        <v>20.673810793683444</v>
      </c>
      <c r="E84" s="6">
        <v>-0.1914538888405741</v>
      </c>
      <c r="F84" s="8">
        <v>0.98909999999999998</v>
      </c>
      <c r="G84" s="4">
        <v>716375081</v>
      </c>
      <c r="H84" s="7">
        <v>-9.3203262999999996</v>
      </c>
      <c r="I84" s="4">
        <v>1064558.1328604999</v>
      </c>
      <c r="J84" s="8">
        <v>2.4582999999999999</v>
      </c>
      <c r="K84" s="8">
        <v>54.814</v>
      </c>
      <c r="L84" s="7">
        <v>1</v>
      </c>
      <c r="M84" s="8">
        <v>145.0384</v>
      </c>
      <c r="N84" s="8">
        <v>13.093484131432112</v>
      </c>
      <c r="O84" s="8">
        <v>2.6234268140463323E-2</v>
      </c>
      <c r="P84" s="8">
        <v>1.0200753687433792E-2</v>
      </c>
      <c r="Q84" s="8">
        <v>1.8874224696631363</v>
      </c>
      <c r="R84" s="3">
        <v>9.6319344155747916E-3</v>
      </c>
      <c r="S84" s="33">
        <v>-3.3001487623251439E-4</v>
      </c>
      <c r="T84" s="5">
        <v>51.5</v>
      </c>
      <c r="U84" s="34">
        <v>8.0427099999999987E-2</v>
      </c>
      <c r="V84">
        <v>4.14830066287879</v>
      </c>
    </row>
    <row r="85" spans="1:22" x14ac:dyDescent="0.2">
      <c r="A85" s="2" t="s">
        <v>21</v>
      </c>
      <c r="B85" s="5">
        <v>2017</v>
      </c>
      <c r="C85" s="8">
        <v>2.789473135986277</v>
      </c>
      <c r="D85" s="4">
        <v>3.5536783352234034</v>
      </c>
      <c r="E85" s="6">
        <v>-2.3525813771348859E-2</v>
      </c>
      <c r="F85" s="8">
        <v>1.0239</v>
      </c>
      <c r="G85" s="4">
        <v>768352221</v>
      </c>
      <c r="H85" s="7">
        <v>7.2555761999999993</v>
      </c>
      <c r="I85" s="4">
        <v>1099357.2342060001</v>
      </c>
      <c r="J85" s="8">
        <v>2.5057999999999998</v>
      </c>
      <c r="K85" s="8">
        <v>50.792999999999999</v>
      </c>
      <c r="L85" s="7">
        <v>1</v>
      </c>
      <c r="M85" s="8">
        <v>137.64279999999999</v>
      </c>
      <c r="N85" s="8">
        <v>13.135278678682294</v>
      </c>
      <c r="O85" s="8">
        <v>2.3889822145626051E-2</v>
      </c>
      <c r="P85" s="8">
        <v>1.8599958009794623E-2</v>
      </c>
      <c r="Q85" s="8">
        <v>1.4842184402015939</v>
      </c>
      <c r="R85" s="3">
        <v>9.305239161264996E-3</v>
      </c>
      <c r="S85" s="33">
        <v>5.9264581238536021E-2</v>
      </c>
      <c r="T85" s="5">
        <v>51.9</v>
      </c>
      <c r="U85" s="34">
        <v>7.8288908333333337E-2</v>
      </c>
      <c r="V85">
        <v>4.3004408776112397</v>
      </c>
    </row>
    <row r="86" spans="1:22" x14ac:dyDescent="0.2">
      <c r="A86" s="2" t="s">
        <v>21</v>
      </c>
      <c r="B86" s="5">
        <v>2018</v>
      </c>
      <c r="C86" s="8">
        <v>3.2669501538443035</v>
      </c>
      <c r="D86" s="4">
        <v>3.7355464036000434</v>
      </c>
      <c r="E86" s="6">
        <v>-2.1573201889201379E-2</v>
      </c>
      <c r="F86" s="8">
        <v>1.0061</v>
      </c>
      <c r="G86" s="4">
        <v>1015058192</v>
      </c>
      <c r="H86" s="7">
        <v>32.108447699999999</v>
      </c>
      <c r="I86" s="4">
        <v>1007665.7974280999</v>
      </c>
      <c r="J86" s="8">
        <v>2.1793999999999998</v>
      </c>
      <c r="K86" s="8">
        <v>48.490499999999997</v>
      </c>
      <c r="L86" s="7">
        <v>1</v>
      </c>
      <c r="M86" s="8">
        <v>146.46680000000001</v>
      </c>
      <c r="N86" s="8">
        <v>13.188317851232576</v>
      </c>
      <c r="O86" s="8">
        <v>2.6485182013397397E-2</v>
      </c>
      <c r="P86" s="8">
        <v>1.4680530463194173E-2</v>
      </c>
      <c r="Q86" s="8">
        <v>1.3401894364726121</v>
      </c>
      <c r="R86" s="3">
        <v>9.3551337693775962E-3</v>
      </c>
      <c r="S86" s="33">
        <v>0.12434534107537239</v>
      </c>
      <c r="T86" s="5">
        <v>53.5</v>
      </c>
      <c r="U86" s="34">
        <v>6.7443749999999997E-2</v>
      </c>
      <c r="V86">
        <v>4.0351301370680597</v>
      </c>
    </row>
    <row r="87" spans="1:22" x14ac:dyDescent="0.2">
      <c r="A87" s="2" t="s">
        <v>21</v>
      </c>
      <c r="B87" s="5">
        <v>2019</v>
      </c>
      <c r="C87" s="8">
        <v>2.5759197103832827</v>
      </c>
      <c r="D87" s="4">
        <v>-25.79389291549996</v>
      </c>
      <c r="E87" s="6">
        <v>0.27036204156126781</v>
      </c>
      <c r="F87" s="8">
        <v>0.99099999999999999</v>
      </c>
      <c r="G87" s="4">
        <v>1026346675</v>
      </c>
      <c r="H87" s="7">
        <v>1.1121021</v>
      </c>
      <c r="I87" s="4">
        <v>1134395.8266795001</v>
      </c>
      <c r="J87" s="8">
        <v>2.1179000000000001</v>
      </c>
      <c r="K87" s="8">
        <v>55.509099999999997</v>
      </c>
      <c r="L87" s="7">
        <v>1</v>
      </c>
      <c r="M87" s="8">
        <v>148.62440000000001</v>
      </c>
      <c r="N87" s="8">
        <v>13.25906962110137</v>
      </c>
      <c r="O87" s="8">
        <v>2.4789804358583224E-2</v>
      </c>
      <c r="P87" s="8">
        <v>1.7202315595087482E-2</v>
      </c>
      <c r="Q87" s="8">
        <v>1.7092113475511383</v>
      </c>
      <c r="R87" s="3">
        <v>9.417624712328012E-3</v>
      </c>
      <c r="S87" s="33">
        <v>1.7806883043984915E-2</v>
      </c>
      <c r="T87" s="5">
        <v>51.6</v>
      </c>
      <c r="U87" s="34">
        <v>3.4638733333333338E-2</v>
      </c>
      <c r="V87">
        <v>4.1424697356973104</v>
      </c>
    </row>
    <row r="88" spans="1:22" x14ac:dyDescent="0.2">
      <c r="A88" s="2" t="s">
        <v>21</v>
      </c>
      <c r="B88" s="5">
        <v>2020</v>
      </c>
      <c r="C88" s="8">
        <v>0.83131305736556482</v>
      </c>
      <c r="D88" s="4">
        <v>-0.7591163269087593</v>
      </c>
      <c r="E88" s="6">
        <v>3.4052417107507685E-2</v>
      </c>
      <c r="F88" s="8">
        <v>0.97919999999999996</v>
      </c>
      <c r="G88" s="4">
        <v>1000026427</v>
      </c>
      <c r="H88" s="7">
        <v>-2.5644598000000003</v>
      </c>
      <c r="I88" s="4">
        <v>1302712.9400672999</v>
      </c>
      <c r="J88" s="8">
        <v>2.0291000000000001</v>
      </c>
      <c r="K88" s="8">
        <v>59.218200000000003</v>
      </c>
      <c r="L88" s="7">
        <v>1</v>
      </c>
      <c r="M88" s="8">
        <v>171.87870000000001</v>
      </c>
      <c r="N88" s="8">
        <v>13.308602083807106</v>
      </c>
      <c r="O88" s="8">
        <v>3.2622393617850298E-2</v>
      </c>
      <c r="P88" s="8">
        <v>1.5521333295875583E-2</v>
      </c>
      <c r="Q88" s="8">
        <v>5.4478382893607025</v>
      </c>
      <c r="R88" s="3">
        <v>9.0770436130754393E-3</v>
      </c>
      <c r="S88" s="33">
        <v>-7.6232140578039884E-2</v>
      </c>
      <c r="T88" s="5">
        <v>52.4</v>
      </c>
      <c r="U88" s="34">
        <v>0.14886964166666666</v>
      </c>
      <c r="V88">
        <v>4.2034819485188404</v>
      </c>
    </row>
    <row r="89" spans="1:22" x14ac:dyDescent="0.2">
      <c r="A89" s="2" t="s">
        <v>21</v>
      </c>
      <c r="B89" s="5">
        <v>2021</v>
      </c>
      <c r="C89" s="8">
        <v>2.226237370031352</v>
      </c>
      <c r="D89" s="4">
        <v>-7.0189779720998331</v>
      </c>
      <c r="E89" s="6">
        <v>8.5209316141861557E-2</v>
      </c>
      <c r="F89" s="8">
        <v>0.99909999999999999</v>
      </c>
      <c r="G89" s="4">
        <v>1088081252</v>
      </c>
      <c r="H89" s="7">
        <v>8.8052498000000003</v>
      </c>
      <c r="I89" s="4">
        <v>1329264.1457691998</v>
      </c>
      <c r="J89" s="8">
        <v>2.0586000000000002</v>
      </c>
      <c r="K89" s="8">
        <v>55.918300000000002</v>
      </c>
      <c r="L89" s="7">
        <v>1</v>
      </c>
      <c r="M89" s="8">
        <v>154.8467</v>
      </c>
      <c r="N89" s="8">
        <v>13.340545936119074</v>
      </c>
      <c r="O89" s="8">
        <v>3.5245513801534699E-2</v>
      </c>
      <c r="P89" s="8">
        <v>1.753303720687785E-2</v>
      </c>
      <c r="Q89" s="8">
        <v>0.91257703453314365</v>
      </c>
      <c r="R89" s="3">
        <v>8.9486696765062618E-3</v>
      </c>
      <c r="S89" s="33">
        <v>0.10565502625103547</v>
      </c>
      <c r="T89" s="5">
        <v>52.8</v>
      </c>
      <c r="U89" s="34">
        <v>0.22783804166666666</v>
      </c>
      <c r="V89">
        <v>4.1432975981772104</v>
      </c>
    </row>
    <row r="90" spans="1:22" x14ac:dyDescent="0.2">
      <c r="A90" s="2" t="s">
        <v>21</v>
      </c>
      <c r="B90" s="5">
        <v>2022</v>
      </c>
      <c r="C90" s="8">
        <v>2.621138281434666</v>
      </c>
      <c r="D90" s="4">
        <v>21.691304430445793</v>
      </c>
      <c r="E90" s="6">
        <v>-0.204271492776504</v>
      </c>
      <c r="F90" s="8">
        <v>0.99739999999999995</v>
      </c>
      <c r="G90" s="4">
        <v>1227595163</v>
      </c>
      <c r="H90" s="7">
        <v>12.8220122</v>
      </c>
      <c r="I90" s="4">
        <v>1332109.00755</v>
      </c>
      <c r="J90" s="8">
        <v>2.0819999999999999</v>
      </c>
      <c r="K90" s="8">
        <v>46.146299999999997</v>
      </c>
      <c r="L90" s="7">
        <v>1</v>
      </c>
      <c r="M90" s="8">
        <v>157.50190000000001</v>
      </c>
      <c r="N90" s="8">
        <v>13.410127284007604</v>
      </c>
      <c r="O90" s="8">
        <v>3.0470086214299474E-2</v>
      </c>
      <c r="P90" s="8">
        <v>1.4654557347844656E-2</v>
      </c>
      <c r="Q90" s="8">
        <v>0.84219395779814366</v>
      </c>
      <c r="R90" s="3">
        <v>9.3996330154068625E-3</v>
      </c>
      <c r="S90" s="33">
        <v>8.9347299498855171E-2</v>
      </c>
      <c r="T90" s="5">
        <v>53</v>
      </c>
      <c r="U90" s="34">
        <v>0.18707895833333332</v>
      </c>
      <c r="V90">
        <v>4.4010763454007202</v>
      </c>
    </row>
    <row r="92" spans="1:22" x14ac:dyDescent="0.2">
      <c r="A92" s="2" t="s">
        <v>23</v>
      </c>
      <c r="B92" s="5">
        <v>2014</v>
      </c>
      <c r="C92" s="8">
        <v>7.4853357512317098</v>
      </c>
      <c r="D92" s="4">
        <v>0.39560705764139437</v>
      </c>
      <c r="E92" s="6">
        <v>8.27231001252237E-3</v>
      </c>
      <c r="F92" s="8">
        <v>1.0037</v>
      </c>
      <c r="G92" s="4">
        <v>74874425</v>
      </c>
      <c r="H92" s="7">
        <v>64.923508200000001</v>
      </c>
      <c r="I92" s="4">
        <v>289240.75930959999</v>
      </c>
      <c r="J92" s="8">
        <v>1.8651</v>
      </c>
      <c r="K92" s="8">
        <v>52.892600000000002</v>
      </c>
      <c r="L92" s="7">
        <v>1</v>
      </c>
      <c r="M92" s="8">
        <v>205.21610000000001</v>
      </c>
      <c r="N92" s="8">
        <v>12.298444129777151</v>
      </c>
      <c r="O92" s="8">
        <v>1.2584988060948222E-2</v>
      </c>
      <c r="P92" s="8">
        <v>1.4985059727897753E-2</v>
      </c>
      <c r="Q92" s="8">
        <v>1.5320256160929959</v>
      </c>
      <c r="R92" s="3">
        <v>9.0678203178545472E-3</v>
      </c>
      <c r="S92" s="33">
        <v>4.5749844464168611E-2</v>
      </c>
      <c r="T92" s="5">
        <v>47.6</v>
      </c>
      <c r="U92" s="34">
        <v>3.642151666666666E-2</v>
      </c>
      <c r="V92">
        <v>3.2728597464304698</v>
      </c>
    </row>
    <row r="93" spans="1:22" x14ac:dyDescent="0.2">
      <c r="A93" s="2" t="s">
        <v>23</v>
      </c>
      <c r="B93" s="5">
        <v>2015</v>
      </c>
      <c r="C93" s="8">
        <v>5.7020404003557781</v>
      </c>
      <c r="D93" s="4">
        <v>-10.860277706424728</v>
      </c>
      <c r="E93" s="6">
        <v>0.12870734966453823</v>
      </c>
      <c r="F93" s="8">
        <v>1.0085999999999999</v>
      </c>
      <c r="G93" s="4">
        <v>123129454</v>
      </c>
      <c r="H93" s="7">
        <v>64.447946000000002</v>
      </c>
      <c r="I93" s="4">
        <v>284125.14953549998</v>
      </c>
      <c r="J93" s="8">
        <v>1.7815000000000001</v>
      </c>
      <c r="K93" s="8">
        <v>58.0642</v>
      </c>
      <c r="L93" s="7">
        <v>1</v>
      </c>
      <c r="M93" s="8">
        <v>230.4127</v>
      </c>
      <c r="N93" s="8">
        <v>12.336830463475033</v>
      </c>
      <c r="O93" s="8">
        <v>1.1932453581822789E-2</v>
      </c>
      <c r="P93" s="8">
        <v>8.3928425521632485E-3</v>
      </c>
      <c r="Q93" s="8">
        <v>2.0518695972420633</v>
      </c>
      <c r="R93" s="3">
        <v>9.5718595508311518E-3</v>
      </c>
      <c r="S93" s="33">
        <v>-0.10859218146637346</v>
      </c>
      <c r="T93" s="5">
        <v>49.2</v>
      </c>
      <c r="U93" s="34">
        <v>0.13826017499999999</v>
      </c>
      <c r="V93">
        <v>3.9055002630276801</v>
      </c>
    </row>
    <row r="94" spans="1:22" x14ac:dyDescent="0.2">
      <c r="A94" s="2" t="s">
        <v>23</v>
      </c>
      <c r="B94" s="5">
        <v>2016</v>
      </c>
      <c r="C94" s="8">
        <v>5.6588853629653473</v>
      </c>
      <c r="D94" s="4">
        <v>33.870228963633231</v>
      </c>
      <c r="E94" s="6">
        <v>-0.32558674990957648</v>
      </c>
      <c r="F94" s="8">
        <v>0.9879</v>
      </c>
      <c r="G94" s="4">
        <v>143190552</v>
      </c>
      <c r="H94" s="7">
        <v>16.292688200000001</v>
      </c>
      <c r="I94" s="4">
        <v>374993.93666760001</v>
      </c>
      <c r="J94" s="8">
        <v>1.7263999999999999</v>
      </c>
      <c r="K94" s="8">
        <v>54.454000000000001</v>
      </c>
      <c r="L94" s="7">
        <v>1</v>
      </c>
      <c r="M94" s="8">
        <v>189.8355</v>
      </c>
      <c r="N94" s="8">
        <v>12.374459349169806</v>
      </c>
      <c r="O94" s="8">
        <v>1.3718523247155055E-2</v>
      </c>
      <c r="P94" s="8">
        <v>1.1707438390014585E-2</v>
      </c>
      <c r="Q94" s="8">
        <v>1.9715925796352851</v>
      </c>
      <c r="R94" s="3">
        <v>9.3160832404167761E-3</v>
      </c>
      <c r="S94" s="33">
        <v>-3.3001487623251439E-4</v>
      </c>
      <c r="T94" s="5">
        <v>51.5</v>
      </c>
      <c r="U94" s="34">
        <v>8.0427099999999987E-2</v>
      </c>
      <c r="V94">
        <v>4.14830066287879</v>
      </c>
    </row>
    <row r="95" spans="1:22" x14ac:dyDescent="0.2">
      <c r="A95" s="2" t="s">
        <v>23</v>
      </c>
      <c r="B95" s="5">
        <v>2017</v>
      </c>
      <c r="C95" s="8">
        <v>6.4926521594773678</v>
      </c>
      <c r="D95" s="4">
        <v>-0.13398990486593343</v>
      </c>
      <c r="E95" s="6">
        <v>1.3158574063748938E-2</v>
      </c>
      <c r="F95" s="8">
        <v>0.98650000000000004</v>
      </c>
      <c r="G95" s="4">
        <v>117957624</v>
      </c>
      <c r="H95" s="7">
        <v>-17.621922400000003</v>
      </c>
      <c r="I95" s="4">
        <v>356779.3433148</v>
      </c>
      <c r="J95" s="8">
        <v>1.7246999999999999</v>
      </c>
      <c r="K95" s="8">
        <v>53.358199999999997</v>
      </c>
      <c r="L95" s="7">
        <v>1</v>
      </c>
      <c r="M95" s="8">
        <v>147.7174</v>
      </c>
      <c r="N95" s="8">
        <v>12.346746893367254</v>
      </c>
      <c r="O95" s="8">
        <v>1.1381479505465485E-2</v>
      </c>
      <c r="P95" s="8">
        <v>8.1732246852072553E-3</v>
      </c>
      <c r="Q95" s="8">
        <v>1.6426066422344667</v>
      </c>
      <c r="R95" s="3">
        <v>9.6368638021626114E-3</v>
      </c>
      <c r="S95" s="33">
        <v>5.9264581238536021E-2</v>
      </c>
      <c r="T95" s="5">
        <v>51.9</v>
      </c>
      <c r="U95" s="34">
        <v>7.8288908333333337E-2</v>
      </c>
      <c r="V95">
        <v>4.3004408776112397</v>
      </c>
    </row>
    <row r="96" spans="1:22" x14ac:dyDescent="0.2">
      <c r="A96" s="2" t="s">
        <v>23</v>
      </c>
      <c r="B96" s="5">
        <v>2018</v>
      </c>
      <c r="C96" s="8">
        <v>7.4220749229479175</v>
      </c>
      <c r="D96" s="4">
        <v>3.6436054774687442E-2</v>
      </c>
      <c r="E96" s="6">
        <v>1.3097293016727447E-2</v>
      </c>
      <c r="F96" s="8">
        <v>0.99119999999999997</v>
      </c>
      <c r="G96" s="4">
        <v>117033598</v>
      </c>
      <c r="H96" s="7">
        <v>-0.78335420000000011</v>
      </c>
      <c r="I96" s="4">
        <v>348359.15173540002</v>
      </c>
      <c r="J96" s="8">
        <v>1.7252000000000001</v>
      </c>
      <c r="K96" s="8">
        <v>49.336599999999997</v>
      </c>
      <c r="L96" s="7">
        <v>1</v>
      </c>
      <c r="M96" s="8">
        <v>151.52860000000001</v>
      </c>
      <c r="N96" s="8">
        <v>12.401498296582533</v>
      </c>
      <c r="O96" s="8">
        <v>1.9253710801618511E-2</v>
      </c>
      <c r="P96" s="8">
        <v>8.8123028528855792E-3</v>
      </c>
      <c r="Q96" s="8">
        <v>1.3978837790594032</v>
      </c>
      <c r="R96" s="3">
        <v>9.4422891542703564E-3</v>
      </c>
      <c r="S96" s="33">
        <v>0.12434534107537239</v>
      </c>
      <c r="T96" s="5">
        <v>53.5</v>
      </c>
      <c r="U96" s="34">
        <v>6.7443749999999997E-2</v>
      </c>
      <c r="V96">
        <v>4.0351301370680597</v>
      </c>
    </row>
    <row r="97" spans="1:22" x14ac:dyDescent="0.2">
      <c r="A97" s="2" t="s">
        <v>23</v>
      </c>
      <c r="B97" s="5">
        <v>2019</v>
      </c>
      <c r="C97" s="8">
        <v>7.5717916081309324</v>
      </c>
      <c r="D97" s="4">
        <v>-30.974219562688916</v>
      </c>
      <c r="E97" s="6">
        <v>0.3231217560582833</v>
      </c>
      <c r="F97" s="8">
        <v>0.9899</v>
      </c>
      <c r="G97" s="4">
        <v>95047321</v>
      </c>
      <c r="H97" s="7">
        <v>-18.786294999999999</v>
      </c>
      <c r="I97" s="4">
        <v>347930.18434720003</v>
      </c>
      <c r="J97" s="8">
        <v>1.6173999999999999</v>
      </c>
      <c r="K97" s="8">
        <v>47.996099999999998</v>
      </c>
      <c r="L97" s="7">
        <v>1</v>
      </c>
      <c r="M97" s="8">
        <v>136.62219999999999</v>
      </c>
      <c r="N97" s="8">
        <v>12.459134142353253</v>
      </c>
      <c r="O97" s="8">
        <v>1.6911456671140364E-2</v>
      </c>
      <c r="P97" s="8">
        <v>5.2225362606731609E-3</v>
      </c>
      <c r="Q97" s="8">
        <v>1.3216866035897068</v>
      </c>
      <c r="R97" s="3">
        <v>9.2475370612357111E-3</v>
      </c>
      <c r="S97" s="33">
        <v>1.7806883043984915E-2</v>
      </c>
      <c r="T97" s="5">
        <v>51.6</v>
      </c>
      <c r="U97" s="34">
        <v>3.4638733333333338E-2</v>
      </c>
      <c r="V97">
        <v>4.1424697356973104</v>
      </c>
    </row>
    <row r="98" spans="1:22" x14ac:dyDescent="0.2">
      <c r="A98" s="2" t="s">
        <v>23</v>
      </c>
      <c r="B98" s="5">
        <v>2020</v>
      </c>
      <c r="C98" s="8">
        <v>6.0243106163566091</v>
      </c>
      <c r="D98" s="4">
        <v>-1.7336003531365343</v>
      </c>
      <c r="E98" s="6">
        <v>3.9710272283632046E-2</v>
      </c>
      <c r="F98" s="8">
        <v>0.98089999999999999</v>
      </c>
      <c r="G98" s="4">
        <v>104512343</v>
      </c>
      <c r="H98" s="7">
        <v>9.9582207</v>
      </c>
      <c r="I98" s="4">
        <v>318140.24572139996</v>
      </c>
      <c r="J98" s="8">
        <v>1.3844000000000001</v>
      </c>
      <c r="K98" s="8">
        <v>47.131300000000003</v>
      </c>
      <c r="L98" s="7">
        <v>1</v>
      </c>
      <c r="M98" s="8">
        <v>122.9149</v>
      </c>
      <c r="N98" s="8">
        <v>12.510427297373381</v>
      </c>
      <c r="O98" s="8">
        <v>2.0438880508536816E-2</v>
      </c>
      <c r="P98" s="8">
        <v>7.2482175505269629E-3</v>
      </c>
      <c r="Q98" s="8">
        <v>1.3779960921236287</v>
      </c>
      <c r="R98" s="3">
        <v>9.1527318700795526E-3</v>
      </c>
      <c r="S98" s="33">
        <v>-7.6232140578039884E-2</v>
      </c>
      <c r="T98" s="5">
        <v>52.4</v>
      </c>
      <c r="U98" s="34">
        <v>0.14886964166666666</v>
      </c>
      <c r="V98">
        <v>4.2034819485188404</v>
      </c>
    </row>
    <row r="99" spans="1:22" x14ac:dyDescent="0.2">
      <c r="A99" s="2" t="s">
        <v>23</v>
      </c>
      <c r="B99" s="5">
        <v>2021</v>
      </c>
      <c r="C99" s="8">
        <v>7.1494709503285705</v>
      </c>
      <c r="D99" s="4">
        <v>-0.6782057845803372</v>
      </c>
      <c r="E99" s="6">
        <v>1.8489938376428441E-2</v>
      </c>
      <c r="F99" s="8">
        <v>0.98009999999999997</v>
      </c>
      <c r="G99" s="4">
        <v>111751218</v>
      </c>
      <c r="H99" s="7">
        <v>6.9263349999999999</v>
      </c>
      <c r="I99" s="4">
        <v>295042.74570199999</v>
      </c>
      <c r="J99" s="8">
        <v>1.4904999999999999</v>
      </c>
      <c r="K99" s="8">
        <v>45.224499999999999</v>
      </c>
      <c r="L99" s="7">
        <v>1</v>
      </c>
      <c r="M99" s="8">
        <v>127.93040000000001</v>
      </c>
      <c r="N99" s="8">
        <v>12.576053771269025</v>
      </c>
      <c r="O99" s="8">
        <v>1.8186370718079076E-2</v>
      </c>
      <c r="P99" s="8">
        <v>8.6298844067095835E-3</v>
      </c>
      <c r="Q99" s="8">
        <v>0.71168455258840724</v>
      </c>
      <c r="R99" s="3">
        <v>9.0753133544366673E-3</v>
      </c>
      <c r="S99" s="33">
        <v>0.10565502625103547</v>
      </c>
      <c r="T99" s="5">
        <v>52.8</v>
      </c>
      <c r="U99" s="34">
        <v>0.22783804166666666</v>
      </c>
      <c r="V99">
        <v>4.1432975981772104</v>
      </c>
    </row>
    <row r="100" spans="1:22" x14ac:dyDescent="0.2">
      <c r="A100" s="2" t="s">
        <v>23</v>
      </c>
      <c r="B100" s="5">
        <v>2022</v>
      </c>
      <c r="C100" s="8">
        <v>6.8988184542093034</v>
      </c>
      <c r="D100" s="4">
        <v>-9.8961270048279744</v>
      </c>
      <c r="E100" s="6">
        <v>0.1121331507046176</v>
      </c>
      <c r="F100" s="8">
        <v>0.98670000000000002</v>
      </c>
      <c r="G100" s="4">
        <v>151997220</v>
      </c>
      <c r="H100" s="7">
        <v>36.013926900000001</v>
      </c>
      <c r="I100" s="4">
        <v>328858.14944840001</v>
      </c>
      <c r="J100" s="8">
        <v>1.5451999999999999</v>
      </c>
      <c r="K100" s="8">
        <v>44.733600000000003</v>
      </c>
      <c r="L100" s="7">
        <v>1</v>
      </c>
      <c r="M100" s="8">
        <v>159.20740000000001</v>
      </c>
      <c r="N100" s="8">
        <v>12.64681242859305</v>
      </c>
      <c r="O100" s="8">
        <v>1.7492699960760735E-2</v>
      </c>
      <c r="P100" s="8">
        <v>8.3968937911743716E-3</v>
      </c>
      <c r="Q100" s="8">
        <v>0.76905854325671685</v>
      </c>
      <c r="R100" s="3">
        <v>9.3365366012516555E-3</v>
      </c>
      <c r="S100" s="33">
        <v>8.9347299498855171E-2</v>
      </c>
      <c r="T100" s="5">
        <v>53</v>
      </c>
      <c r="U100" s="34">
        <v>0.18707895833333332</v>
      </c>
      <c r="V100">
        <v>4.4010763454007202</v>
      </c>
    </row>
    <row r="101" spans="1:22" x14ac:dyDescent="0.2">
      <c r="A101" s="2"/>
      <c r="B101" s="5"/>
      <c r="C101" s="8"/>
      <c r="D101" s="4"/>
      <c r="E101" s="6"/>
      <c r="F101" s="8"/>
      <c r="G101" s="4"/>
      <c r="H101" s="7"/>
      <c r="I101" s="4"/>
      <c r="J101" s="8"/>
      <c r="K101" s="8"/>
      <c r="L101" s="7"/>
      <c r="M101" s="8"/>
      <c r="N101" s="8"/>
      <c r="O101" s="8"/>
      <c r="P101" s="8"/>
      <c r="Q101" s="8"/>
      <c r="R101" s="3"/>
      <c r="S101" s="33"/>
      <c r="T101" s="5"/>
      <c r="U101" s="34"/>
      <c r="V101"/>
    </row>
    <row r="102" spans="1:22" x14ac:dyDescent="0.2">
      <c r="A102" s="2" t="s">
        <v>25</v>
      </c>
      <c r="B102" s="5">
        <v>2014</v>
      </c>
      <c r="C102" s="8">
        <v>5.7828460427085728</v>
      </c>
      <c r="D102" s="4">
        <v>1.3508562570354694</v>
      </c>
      <c r="E102" s="6">
        <v>-1.0624192365565443E-3</v>
      </c>
      <c r="F102" s="8">
        <v>0.96909999999999996</v>
      </c>
      <c r="G102" s="4">
        <v>10164.558999999999</v>
      </c>
      <c r="H102" s="7">
        <v>62.665425032070374</v>
      </c>
      <c r="I102" s="4">
        <v>23652.9955854</v>
      </c>
      <c r="J102" s="8">
        <v>1.8283</v>
      </c>
      <c r="K102" s="8">
        <v>34.308999999999997</v>
      </c>
      <c r="L102" s="7">
        <v>1</v>
      </c>
      <c r="M102" s="8">
        <v>90.204400000000007</v>
      </c>
      <c r="N102" s="8">
        <v>10.779912041347396</v>
      </c>
      <c r="O102" s="8">
        <v>1.273540351888146E-2</v>
      </c>
      <c r="P102" s="8">
        <v>1.2677841115973336E-2</v>
      </c>
      <c r="Q102" s="8">
        <v>1.1016334059499306</v>
      </c>
      <c r="R102" s="3">
        <v>8.2100593473065728E-3</v>
      </c>
      <c r="S102" s="33">
        <v>4.5749844464168611E-2</v>
      </c>
      <c r="T102" s="5">
        <v>47.6</v>
      </c>
      <c r="U102" s="34">
        <v>3.642151666666666E-2</v>
      </c>
      <c r="V102">
        <v>3.2728597464304698</v>
      </c>
    </row>
    <row r="103" spans="1:22" x14ac:dyDescent="0.2">
      <c r="A103" s="2" t="s">
        <v>25</v>
      </c>
      <c r="B103" s="5">
        <v>2015</v>
      </c>
      <c r="C103" s="8">
        <v>4.7964542667455188</v>
      </c>
      <c r="D103" s="4">
        <v>0.34437043457893513</v>
      </c>
      <c r="E103" s="6">
        <v>1.3964875017386288E-2</v>
      </c>
      <c r="F103" s="8">
        <v>0.98950000000000005</v>
      </c>
      <c r="G103" s="4">
        <v>8857.3760000000002</v>
      </c>
      <c r="H103" s="7">
        <v>-12.860203772736224</v>
      </c>
      <c r="I103" s="4">
        <v>22189.1079312</v>
      </c>
      <c r="J103" s="8">
        <v>1.7687999999999999</v>
      </c>
      <c r="K103" s="8">
        <v>35.700600000000001</v>
      </c>
      <c r="L103" s="7">
        <v>1</v>
      </c>
      <c r="M103" s="8">
        <v>49.526400000000002</v>
      </c>
      <c r="N103" s="8">
        <v>10.880588056144237</v>
      </c>
      <c r="O103" s="8">
        <v>1.0580041328527429E-2</v>
      </c>
      <c r="P103" s="8">
        <v>1.0710075978524209E-2</v>
      </c>
      <c r="Q103" s="8">
        <v>1.4071485525883325</v>
      </c>
      <c r="R103" s="3">
        <v>8.2634620387853196E-3</v>
      </c>
      <c r="S103" s="33">
        <v>-0.10859218146637346</v>
      </c>
      <c r="T103" s="5">
        <v>49.2</v>
      </c>
      <c r="U103" s="34">
        <v>0.13826017499999999</v>
      </c>
      <c r="V103">
        <v>3.9055002630276801</v>
      </c>
    </row>
    <row r="104" spans="1:22" x14ac:dyDescent="0.2">
      <c r="A104" s="2" t="s">
        <v>25</v>
      </c>
      <c r="B104" s="5">
        <v>2016</v>
      </c>
      <c r="C104" s="8">
        <v>4.5834326002804691</v>
      </c>
      <c r="D104" s="4">
        <v>7.5244621428589484</v>
      </c>
      <c r="E104" s="6">
        <v>-5.8642181119709792E-2</v>
      </c>
      <c r="F104" s="8">
        <v>0.97419999999999995</v>
      </c>
      <c r="G104" s="4">
        <v>10087.175999999999</v>
      </c>
      <c r="H104" s="7">
        <v>13.884473234510979</v>
      </c>
      <c r="I104" s="4">
        <v>31017.333203999995</v>
      </c>
      <c r="J104" s="8">
        <v>1.7379</v>
      </c>
      <c r="K104" s="8">
        <v>36.472299999999997</v>
      </c>
      <c r="L104" s="7">
        <v>1</v>
      </c>
      <c r="M104" s="8">
        <v>64.890900000000002</v>
      </c>
      <c r="N104" s="8">
        <v>10.926235558408742</v>
      </c>
      <c r="O104" s="8">
        <v>9.6763956241670817E-3</v>
      </c>
      <c r="P104" s="8">
        <v>1.6837471961149011E-2</v>
      </c>
      <c r="Q104" s="8">
        <v>1.5566748115324358</v>
      </c>
      <c r="R104" s="3">
        <v>8.4097165475099551E-3</v>
      </c>
      <c r="S104" s="33">
        <v>-3.3001487623251439E-4</v>
      </c>
      <c r="T104" s="5">
        <v>51.5</v>
      </c>
      <c r="U104" s="34">
        <v>8.0427099999999987E-2</v>
      </c>
      <c r="V104">
        <v>4.14830066287879</v>
      </c>
    </row>
    <row r="105" spans="1:22" x14ac:dyDescent="0.2">
      <c r="A105" s="2" t="s">
        <v>25</v>
      </c>
      <c r="B105" s="5">
        <v>2017</v>
      </c>
      <c r="C105" s="8">
        <v>4.5242813250517022</v>
      </c>
      <c r="D105" s="4">
        <v>0.58441695071205491</v>
      </c>
      <c r="E105" s="6">
        <v>8.0336801652649871E-3</v>
      </c>
      <c r="F105" s="8">
        <v>1.0205</v>
      </c>
      <c r="G105" s="4">
        <v>15664.319</v>
      </c>
      <c r="H105" s="7">
        <v>55.289438788418089</v>
      </c>
      <c r="I105" s="4">
        <v>23198.7995496</v>
      </c>
      <c r="J105" s="8">
        <v>1.7163999999999999</v>
      </c>
      <c r="K105" s="8">
        <v>53.420400000000001</v>
      </c>
      <c r="L105" s="7">
        <v>1</v>
      </c>
      <c r="M105" s="8">
        <v>40.846699999999998</v>
      </c>
      <c r="N105" s="8">
        <v>10.898387300223236</v>
      </c>
      <c r="O105" s="8">
        <v>9.6504733203419193E-3</v>
      </c>
      <c r="P105" s="8">
        <v>7.3943742365276642E-3</v>
      </c>
      <c r="Q105" s="8">
        <v>1.5156871954441375</v>
      </c>
      <c r="R105" s="3">
        <v>8.8583614524045343E-3</v>
      </c>
      <c r="S105" s="33">
        <v>5.9264581238536021E-2</v>
      </c>
      <c r="T105" s="5">
        <v>51.9</v>
      </c>
      <c r="U105" s="34">
        <v>7.8288908333333337E-2</v>
      </c>
      <c r="V105">
        <v>4.3004408776112397</v>
      </c>
    </row>
    <row r="106" spans="1:22" x14ac:dyDescent="0.2">
      <c r="A106" s="2" t="s">
        <v>25</v>
      </c>
      <c r="B106" s="5">
        <v>2018</v>
      </c>
      <c r="C106" s="8">
        <v>4.4638541334766062</v>
      </c>
      <c r="D106" s="4">
        <v>0.46112684504620638</v>
      </c>
      <c r="E106" s="6">
        <v>1.3272314310080389E-2</v>
      </c>
      <c r="F106" s="8">
        <v>1.0242</v>
      </c>
      <c r="G106" s="4">
        <v>10597.031999999999</v>
      </c>
      <c r="H106" s="7">
        <v>-32.349232673313153</v>
      </c>
      <c r="I106" s="4">
        <v>36909.9567924</v>
      </c>
      <c r="J106" s="8">
        <v>1.8643000000000001</v>
      </c>
      <c r="K106" s="8">
        <v>56.266300000000001</v>
      </c>
      <c r="L106" s="7">
        <v>1</v>
      </c>
      <c r="M106" s="8">
        <v>41.275700000000001</v>
      </c>
      <c r="N106" s="8">
        <v>10.895595486426616</v>
      </c>
      <c r="O106" s="8">
        <v>9.2277224170756404E-3</v>
      </c>
      <c r="P106" s="8">
        <v>7.6983482615318732E-3</v>
      </c>
      <c r="Q106" s="8">
        <v>1.4209645988483013</v>
      </c>
      <c r="R106" s="3">
        <v>9.4435007542045726E-3</v>
      </c>
      <c r="S106" s="33">
        <v>0.12434534107537239</v>
      </c>
      <c r="T106" s="5">
        <v>53.5</v>
      </c>
      <c r="U106" s="34">
        <v>6.7443749999999997E-2</v>
      </c>
      <c r="V106">
        <v>4.0351301370680597</v>
      </c>
    </row>
    <row r="107" spans="1:22" x14ac:dyDescent="0.2">
      <c r="A107" s="2" t="s">
        <v>25</v>
      </c>
      <c r="B107" s="5">
        <v>2019</v>
      </c>
      <c r="C107" s="8">
        <v>4.7296806177567197</v>
      </c>
      <c r="D107" s="4">
        <v>1.0307521589927537</v>
      </c>
      <c r="E107" s="6">
        <v>6.2403403037689627E-3</v>
      </c>
      <c r="F107" s="8">
        <v>1.0105999999999999</v>
      </c>
      <c r="G107" s="4">
        <v>11158.668</v>
      </c>
      <c r="H107" s="7">
        <v>5.2999368124961821</v>
      </c>
      <c r="I107" s="4">
        <v>47658.381563199997</v>
      </c>
      <c r="J107" s="8">
        <v>1.9557</v>
      </c>
      <c r="K107" s="8">
        <v>53.730899999999998</v>
      </c>
      <c r="L107" s="7">
        <v>1</v>
      </c>
      <c r="M107" s="8">
        <v>40.7988</v>
      </c>
      <c r="N107" s="8">
        <v>10.942364893302241</v>
      </c>
      <c r="O107" s="8">
        <v>1.1738164597854553E-2</v>
      </c>
      <c r="P107" s="8">
        <v>6.7993292392559274E-3</v>
      </c>
      <c r="Q107" s="8">
        <v>1.4303700732009821</v>
      </c>
      <c r="R107" s="3">
        <v>9.5124907452686768E-3</v>
      </c>
      <c r="S107" s="33">
        <v>1.7806883043984915E-2</v>
      </c>
      <c r="T107" s="5">
        <v>51.6</v>
      </c>
      <c r="U107" s="34">
        <v>3.4638733333333338E-2</v>
      </c>
      <c r="V107">
        <v>4.1424697356973104</v>
      </c>
    </row>
    <row r="108" spans="1:22" x14ac:dyDescent="0.2">
      <c r="A108" s="2" t="s">
        <v>25</v>
      </c>
      <c r="B108" s="5">
        <v>2020</v>
      </c>
      <c r="C108" s="8">
        <v>3.610178069240046</v>
      </c>
      <c r="D108" s="4">
        <v>-0.73346848537222087</v>
      </c>
      <c r="E108" s="6">
        <v>2.8723981077659035E-2</v>
      </c>
      <c r="F108" s="8">
        <v>0.95</v>
      </c>
      <c r="G108" s="4">
        <v>23483.795999999998</v>
      </c>
      <c r="H108" s="7">
        <v>110.45339820129068</v>
      </c>
      <c r="I108" s="4">
        <v>87133.932339999999</v>
      </c>
      <c r="J108" s="8">
        <v>1.9648000000000001</v>
      </c>
      <c r="K108" s="8">
        <v>48.0274</v>
      </c>
      <c r="L108" s="7">
        <v>1</v>
      </c>
      <c r="M108" s="8">
        <v>53.339599999999997</v>
      </c>
      <c r="N108" s="8">
        <v>11.018226767131106</v>
      </c>
      <c r="O108" s="8">
        <v>1.2785874985644635E-2</v>
      </c>
      <c r="P108" s="8">
        <v>1.0145914986732653E-2</v>
      </c>
      <c r="Q108" s="8">
        <v>1.9181809695413323</v>
      </c>
      <c r="R108" s="3">
        <v>9.0175678858024078E-3</v>
      </c>
      <c r="S108" s="33">
        <v>-7.6232140578039884E-2</v>
      </c>
      <c r="T108" s="5">
        <v>52.4</v>
      </c>
      <c r="U108" s="34">
        <v>0.14886964166666666</v>
      </c>
      <c r="V108">
        <v>4.2034819485188404</v>
      </c>
    </row>
    <row r="109" spans="1:22" x14ac:dyDescent="0.2">
      <c r="A109" s="2" t="s">
        <v>25</v>
      </c>
      <c r="B109" s="5">
        <v>2021</v>
      </c>
      <c r="C109" s="8">
        <v>3.0479735255636617</v>
      </c>
      <c r="D109" s="4">
        <v>3.4023852289102363</v>
      </c>
      <c r="E109" s="6">
        <v>-2.0728939238336356E-2</v>
      </c>
      <c r="F109" s="8">
        <v>0.96450000000000002</v>
      </c>
      <c r="G109" s="4">
        <v>17146.832999999999</v>
      </c>
      <c r="H109" s="7">
        <v>-26.984406609561763</v>
      </c>
      <c r="I109" s="4">
        <v>103244.24785849999</v>
      </c>
      <c r="J109" s="8">
        <v>2.2372000000000001</v>
      </c>
      <c r="K109" s="8">
        <v>44.051099999999998</v>
      </c>
      <c r="L109" s="7">
        <v>1</v>
      </c>
      <c r="M109" s="8">
        <v>49.360300000000002</v>
      </c>
      <c r="N109" s="8">
        <v>11.014048092376512</v>
      </c>
      <c r="O109" s="8">
        <v>2.0699683346734669E-2</v>
      </c>
      <c r="P109" s="8">
        <v>7.0335679965557053E-3</v>
      </c>
      <c r="Q109" s="8">
        <v>1.6052279720684361</v>
      </c>
      <c r="R109" s="3">
        <v>9.1047063649671942E-3</v>
      </c>
      <c r="S109" s="33">
        <v>0.10565502625103547</v>
      </c>
      <c r="T109" s="5">
        <v>52.8</v>
      </c>
      <c r="U109" s="34">
        <v>0.22783804166666666</v>
      </c>
      <c r="V109">
        <v>4.1432975981772104</v>
      </c>
    </row>
    <row r="110" spans="1:22" x14ac:dyDescent="0.2">
      <c r="A110" s="2" t="s">
        <v>25</v>
      </c>
      <c r="B110" s="5">
        <v>2022</v>
      </c>
      <c r="C110" s="8">
        <v>4.5695964619792147</v>
      </c>
      <c r="D110" s="4">
        <v>6.6779806761844709</v>
      </c>
      <c r="E110" s="6">
        <v>-4.9990562104947553E-2</v>
      </c>
      <c r="F110" s="8">
        <v>0.99039999999999995</v>
      </c>
      <c r="G110" s="4">
        <v>19509.254000000001</v>
      </c>
      <c r="H110" s="7">
        <v>13.777593798225027</v>
      </c>
      <c r="I110" s="4">
        <v>85325.297998800001</v>
      </c>
      <c r="J110" s="8">
        <v>2.2201</v>
      </c>
      <c r="K110" s="8">
        <v>44.0627</v>
      </c>
      <c r="L110" s="7">
        <v>1</v>
      </c>
      <c r="M110" s="8">
        <v>52.7883</v>
      </c>
      <c r="N110" s="8">
        <v>11.032432664202764</v>
      </c>
      <c r="O110" s="8">
        <v>2.3065327603613593E-2</v>
      </c>
      <c r="P110" s="8">
        <v>6.6267925976046162E-3</v>
      </c>
      <c r="Q110" s="8">
        <v>0.68034599006173047</v>
      </c>
      <c r="R110" s="3">
        <v>9.5855193627545424E-3</v>
      </c>
      <c r="S110" s="33">
        <v>8.9347299498855171E-2</v>
      </c>
      <c r="T110" s="5">
        <v>53</v>
      </c>
      <c r="U110" s="34">
        <v>0.18707895833333332</v>
      </c>
      <c r="V110">
        <v>4.4010763454007202</v>
      </c>
    </row>
    <row r="111" spans="1:22" x14ac:dyDescent="0.2">
      <c r="A111" s="2"/>
      <c r="B111" s="5"/>
      <c r="C111" s="8"/>
      <c r="D111" s="4"/>
      <c r="E111" s="6"/>
      <c r="F111" s="8"/>
      <c r="G111" s="4"/>
      <c r="H111" s="7"/>
      <c r="I111" s="4"/>
      <c r="J111" s="8"/>
      <c r="K111" s="8"/>
      <c r="L111" s="7"/>
      <c r="M111" s="8"/>
      <c r="N111" s="8"/>
      <c r="O111" s="8"/>
      <c r="P111" s="8"/>
      <c r="Q111" s="8"/>
      <c r="R111" s="3"/>
      <c r="S111" s="5"/>
      <c r="T111" s="5"/>
      <c r="U111" s="5"/>
      <c r="V111" s="5"/>
    </row>
    <row r="112" spans="1:22" x14ac:dyDescent="0.2">
      <c r="A112" s="2" t="s">
        <v>63</v>
      </c>
      <c r="B112" s="5">
        <v>2014</v>
      </c>
      <c r="C112" s="4">
        <v>1.4213552954556474</v>
      </c>
      <c r="D112" s="4">
        <v>0.6375110969045662</v>
      </c>
      <c r="E112" s="13">
        <v>2.1633382196747895E-3</v>
      </c>
      <c r="F112" s="4">
        <v>1.0640000000000001</v>
      </c>
      <c r="G112" s="4">
        <v>20590.060000000001</v>
      </c>
      <c r="H112" s="7">
        <v>-2.385781267037391</v>
      </c>
      <c r="I112" s="4">
        <v>166216.38937799999</v>
      </c>
      <c r="J112" s="4">
        <v>2.1671999999999998</v>
      </c>
      <c r="K112" s="4">
        <v>46.968200000000003</v>
      </c>
      <c r="L112" s="7">
        <v>1</v>
      </c>
      <c r="M112" s="4">
        <v>133.7413</v>
      </c>
      <c r="N112" s="4">
        <v>11.796143764595202</v>
      </c>
      <c r="O112" s="4">
        <v>2.3720139677989711E-2</v>
      </c>
      <c r="P112" s="7">
        <v>1.227969159742892E-4</v>
      </c>
      <c r="Q112" s="4">
        <v>0.98792524322569275</v>
      </c>
      <c r="R112" s="3">
        <v>9.9542546935080783E-3</v>
      </c>
      <c r="S112" s="33">
        <v>4.5749844464168611E-2</v>
      </c>
      <c r="T112" s="5">
        <v>47.6</v>
      </c>
      <c r="U112" s="34">
        <v>3.642151666666666E-2</v>
      </c>
      <c r="V112">
        <v>3.2728597464304698</v>
      </c>
    </row>
    <row r="113" spans="1:22" x14ac:dyDescent="0.2">
      <c r="A113" s="2" t="s">
        <v>63</v>
      </c>
      <c r="B113" s="5">
        <v>2015</v>
      </c>
      <c r="C113" s="4">
        <v>1.4983343874754294</v>
      </c>
      <c r="D113" s="4">
        <v>0.55377363728935214</v>
      </c>
      <c r="E113" s="13">
        <v>1.2397632022146485E-2</v>
      </c>
      <c r="F113" s="4">
        <v>1.0351999999999999</v>
      </c>
      <c r="G113" s="4">
        <v>22547.4</v>
      </c>
      <c r="H113" s="7">
        <v>9.5062374757528634</v>
      </c>
      <c r="I113" s="4">
        <v>157273.01472959999</v>
      </c>
      <c r="J113" s="4">
        <v>1.8344</v>
      </c>
      <c r="K113" s="4">
        <v>45.115000000000002</v>
      </c>
      <c r="L113" s="7">
        <v>1</v>
      </c>
      <c r="M113" s="4">
        <v>115.7779</v>
      </c>
      <c r="N113" s="4">
        <v>11.804130006237971</v>
      </c>
      <c r="O113" s="4">
        <v>1.877920603114613E-2</v>
      </c>
      <c r="P113" s="7">
        <v>2.5410335058884418E-5</v>
      </c>
      <c r="Q113" s="4">
        <v>0.90196694311466108</v>
      </c>
      <c r="R113" s="3">
        <v>9.5325038863244733E-3</v>
      </c>
      <c r="S113" s="33">
        <v>-0.10859218146637346</v>
      </c>
      <c r="T113" s="5">
        <v>49.2</v>
      </c>
      <c r="U113" s="34">
        <v>0.13826017499999999</v>
      </c>
      <c r="V113">
        <v>3.9055002630276801</v>
      </c>
    </row>
    <row r="114" spans="1:22" x14ac:dyDescent="0.2">
      <c r="A114" s="2" t="s">
        <v>63</v>
      </c>
      <c r="B114" s="5">
        <v>2016</v>
      </c>
      <c r="C114" s="4">
        <v>1.0537066521849139</v>
      </c>
      <c r="D114" s="4">
        <v>6.0682123026791048</v>
      </c>
      <c r="E114" s="13">
        <v>-4.4061778605074327E-2</v>
      </c>
      <c r="F114" s="4">
        <v>0.99029999999999996</v>
      </c>
      <c r="G114" s="4">
        <v>24120.61</v>
      </c>
      <c r="H114" s="7">
        <v>6.9773455032509242</v>
      </c>
      <c r="I114" s="4">
        <v>159954.99119999999</v>
      </c>
      <c r="J114" s="4">
        <v>1.5259</v>
      </c>
      <c r="K114" s="4">
        <v>57.762099999999997</v>
      </c>
      <c r="L114" s="7">
        <v>1</v>
      </c>
      <c r="M114" s="4">
        <v>114.0318</v>
      </c>
      <c r="N114" s="4">
        <v>11.803832332177624</v>
      </c>
      <c r="O114" s="4">
        <v>1.5689877539064215E-2</v>
      </c>
      <c r="P114" s="7">
        <v>5.0835800364821622E-5</v>
      </c>
      <c r="Q114" s="4">
        <v>1.4228780857501546</v>
      </c>
      <c r="R114" s="3">
        <v>9.7270600057316452E-3</v>
      </c>
      <c r="S114" s="33">
        <v>-3.3001487623251439E-4</v>
      </c>
      <c r="T114" s="5">
        <v>51.5</v>
      </c>
      <c r="U114" s="34">
        <v>8.0427099999999987E-2</v>
      </c>
      <c r="V114">
        <v>4.14830066287879</v>
      </c>
    </row>
    <row r="115" spans="1:22" x14ac:dyDescent="0.2">
      <c r="A115" s="2" t="s">
        <v>63</v>
      </c>
      <c r="B115" s="5">
        <v>2017</v>
      </c>
      <c r="C115" s="4">
        <v>1.0729440508624766</v>
      </c>
      <c r="D115" s="4">
        <v>1.4171296482694813</v>
      </c>
      <c r="E115" s="13">
        <v>-3.5748228411640825E-4</v>
      </c>
      <c r="F115" s="4">
        <v>0.98509999999999998</v>
      </c>
      <c r="G115" s="4">
        <v>22727.38</v>
      </c>
      <c r="H115" s="7">
        <v>-5.7760977023383715</v>
      </c>
      <c r="I115" s="4">
        <v>168931.2054025</v>
      </c>
      <c r="J115" s="4">
        <v>1.4339999999999999</v>
      </c>
      <c r="K115" s="4">
        <v>57.364899999999999</v>
      </c>
      <c r="L115" s="7">
        <v>1</v>
      </c>
      <c r="M115" s="4">
        <v>95.530699999999996</v>
      </c>
      <c r="N115" s="4">
        <v>11.811307203789815</v>
      </c>
      <c r="O115" s="4">
        <v>1.2318904421400002E-2</v>
      </c>
      <c r="P115" s="7">
        <v>4.3779063686776686E-5</v>
      </c>
      <c r="Q115" s="4">
        <v>1.3782809784151788</v>
      </c>
      <c r="R115" s="3">
        <v>9.6860472001337738E-3</v>
      </c>
      <c r="S115" s="33">
        <v>5.9264581238536021E-2</v>
      </c>
      <c r="T115" s="5">
        <v>51.9</v>
      </c>
      <c r="U115" s="34">
        <v>7.8288908333333337E-2</v>
      </c>
      <c r="V115">
        <v>4.3004408776112397</v>
      </c>
    </row>
    <row r="116" spans="1:22" x14ac:dyDescent="0.2">
      <c r="A116" s="2" t="s">
        <v>63</v>
      </c>
      <c r="B116" s="5">
        <v>2018</v>
      </c>
      <c r="C116" s="4">
        <v>0.92335478517189851</v>
      </c>
      <c r="D116" s="4">
        <v>2.4526151910582712</v>
      </c>
      <c r="E116" s="13">
        <v>-7.153344324828983E-3</v>
      </c>
      <c r="F116" s="4">
        <v>0.96530000000000005</v>
      </c>
      <c r="G116" s="4">
        <v>27694.27</v>
      </c>
      <c r="H116" s="7">
        <v>21.854212848115353</v>
      </c>
      <c r="I116" s="4">
        <v>163844.28105689998</v>
      </c>
      <c r="J116" s="4">
        <v>1.4528000000000001</v>
      </c>
      <c r="K116" s="4">
        <v>61.146700000000003</v>
      </c>
      <c r="L116" s="7">
        <v>1</v>
      </c>
      <c r="M116" s="4">
        <v>94.084999999999994</v>
      </c>
      <c r="N116" s="4">
        <v>11.834148035675748</v>
      </c>
      <c r="O116" s="4">
        <v>9.7935834083514098E-3</v>
      </c>
      <c r="P116" s="7">
        <v>1.4867867125334809E-4</v>
      </c>
      <c r="Q116" s="4">
        <v>1.7143914030917573</v>
      </c>
      <c r="R116" s="3">
        <v>1.0053870068529838E-2</v>
      </c>
      <c r="S116" s="33">
        <v>0.12434534107537239</v>
      </c>
      <c r="T116" s="5">
        <v>53.5</v>
      </c>
      <c r="U116" s="34">
        <v>6.7443749999999997E-2</v>
      </c>
      <c r="V116">
        <v>4.0351301370680597</v>
      </c>
    </row>
    <row r="117" spans="1:22" x14ac:dyDescent="0.2">
      <c r="A117" s="2" t="s">
        <v>63</v>
      </c>
      <c r="B117" s="5">
        <v>2019</v>
      </c>
      <c r="C117" s="4">
        <v>1.0908850519036124</v>
      </c>
      <c r="D117" s="4">
        <v>2.1154656404032379</v>
      </c>
      <c r="E117" s="13">
        <v>-7.7079242678463732E-3</v>
      </c>
      <c r="F117" s="4">
        <v>0.97509999999999997</v>
      </c>
      <c r="G117" s="4">
        <v>23460.73</v>
      </c>
      <c r="H117" s="7">
        <v>-15.286700100778972</v>
      </c>
      <c r="I117" s="4">
        <v>162064.54403999998</v>
      </c>
      <c r="J117" s="4">
        <v>1.3353999999999999</v>
      </c>
      <c r="K117" s="4">
        <v>54.406599999999997</v>
      </c>
      <c r="L117" s="7">
        <v>1</v>
      </c>
      <c r="M117" s="4">
        <v>136.7021</v>
      </c>
      <c r="N117" s="4">
        <v>11.975359265218614</v>
      </c>
      <c r="O117" s="4">
        <v>1.2769861978492282E-2</v>
      </c>
      <c r="P117" s="7">
        <v>1.2469032088235405E-4</v>
      </c>
      <c r="Q117" s="4">
        <v>1.5266727294721261</v>
      </c>
      <c r="R117" s="3">
        <v>9.5256691332251935E-3</v>
      </c>
      <c r="S117" s="33">
        <v>1.7806883043984915E-2</v>
      </c>
      <c r="T117" s="5">
        <v>51.6</v>
      </c>
      <c r="U117" s="34">
        <v>3.4638733333333338E-2</v>
      </c>
      <c r="V117">
        <v>4.1424697356973104</v>
      </c>
    </row>
    <row r="118" spans="1:22" x14ac:dyDescent="0.2">
      <c r="A118" s="2" t="s">
        <v>63</v>
      </c>
      <c r="B118" s="5">
        <v>2020</v>
      </c>
      <c r="C118" s="4">
        <v>0.89881080869756247</v>
      </c>
      <c r="D118" s="4">
        <v>1.4982801772478709</v>
      </c>
      <c r="E118" s="13">
        <v>4.7488411528612603E-3</v>
      </c>
      <c r="F118" s="4">
        <v>0.94350000000000001</v>
      </c>
      <c r="G118" s="4">
        <v>23223.96</v>
      </c>
      <c r="H118" s="7">
        <v>-1.0092183832301913</v>
      </c>
      <c r="I118" s="4">
        <v>189676.65940600002</v>
      </c>
      <c r="J118" s="4">
        <v>1.3762000000000001</v>
      </c>
      <c r="K118" s="4">
        <v>49.599800000000002</v>
      </c>
      <c r="L118" s="7">
        <v>1</v>
      </c>
      <c r="M118" s="4">
        <v>149.41470000000001</v>
      </c>
      <c r="N118" s="4">
        <v>12.038854964758622</v>
      </c>
      <c r="O118" s="4">
        <v>1.1823320597049337E-2</v>
      </c>
      <c r="P118" s="7">
        <v>4.4325432693349337E-4</v>
      </c>
      <c r="Q118" s="4">
        <v>1.6805155218712693</v>
      </c>
      <c r="R118" s="3">
        <v>9.4911654604866343E-3</v>
      </c>
      <c r="S118" s="33">
        <v>-7.6232140578039884E-2</v>
      </c>
      <c r="T118" s="5">
        <v>52.4</v>
      </c>
      <c r="U118" s="34">
        <v>0.14886964166666666</v>
      </c>
      <c r="V118">
        <v>4.2034819485188404</v>
      </c>
    </row>
    <row r="119" spans="1:22" x14ac:dyDescent="0.2">
      <c r="A119" s="2" t="s">
        <v>63</v>
      </c>
      <c r="B119" s="5">
        <v>2021</v>
      </c>
      <c r="C119" s="4">
        <v>-2.0838865784124327</v>
      </c>
      <c r="D119" s="4">
        <v>2.8034132518554551</v>
      </c>
      <c r="E119" s="13">
        <v>-9.4959384189024099E-3</v>
      </c>
      <c r="F119" s="4">
        <v>0.9657</v>
      </c>
      <c r="G119" s="4">
        <v>25109.23</v>
      </c>
      <c r="H119" s="7">
        <v>8.1177800857390405</v>
      </c>
      <c r="I119" s="4">
        <v>177036.43763619999</v>
      </c>
      <c r="J119" s="4">
        <v>1.4641999999999999</v>
      </c>
      <c r="K119" s="4">
        <v>50.0884</v>
      </c>
      <c r="L119" s="7">
        <v>0</v>
      </c>
      <c r="M119" s="4">
        <v>154.2681</v>
      </c>
      <c r="N119" s="4">
        <v>12.04460171962592</v>
      </c>
      <c r="O119" s="4">
        <v>1.8419816265134413E-2</v>
      </c>
      <c r="P119" s="7">
        <v>9.7721063703004032E-4</v>
      </c>
      <c r="Q119" s="4">
        <v>1.6648702063469014</v>
      </c>
      <c r="R119" s="3">
        <v>9.3487033972241788E-3</v>
      </c>
      <c r="S119" s="33">
        <v>0.10565502625103547</v>
      </c>
      <c r="T119" s="5">
        <v>52.8</v>
      </c>
      <c r="U119" s="34">
        <v>0.22783804166666666</v>
      </c>
      <c r="V119">
        <v>4.1432975981772104</v>
      </c>
    </row>
    <row r="120" spans="1:22" x14ac:dyDescent="0.2">
      <c r="A120" s="2" t="s">
        <v>63</v>
      </c>
      <c r="B120" s="5">
        <v>2022</v>
      </c>
      <c r="C120" s="4">
        <v>0.93792275276711723</v>
      </c>
      <c r="D120" s="4">
        <v>6.0739755648723026</v>
      </c>
      <c r="E120" s="13">
        <v>-4.5575209297556117E-2</v>
      </c>
      <c r="F120" s="4">
        <v>0.97430000000000005</v>
      </c>
      <c r="G120" s="4">
        <v>21276.09</v>
      </c>
      <c r="H120" s="7">
        <v>-15.265860402728398</v>
      </c>
      <c r="I120" s="4">
        <v>167602.2604425</v>
      </c>
      <c r="J120" s="4">
        <v>1.5415000000000001</v>
      </c>
      <c r="K120" s="4">
        <v>52.203899999999997</v>
      </c>
      <c r="L120" s="7">
        <v>1</v>
      </c>
      <c r="M120" s="4">
        <v>145.4846</v>
      </c>
      <c r="N120" s="4">
        <v>12.071734670562696</v>
      </c>
      <c r="O120" s="4">
        <v>1.6064035462791532E-2</v>
      </c>
      <c r="P120" s="7">
        <v>9.7621565227118401E-4</v>
      </c>
      <c r="Q120" s="4">
        <v>1.0028114536002524</v>
      </c>
      <c r="R120" s="3">
        <v>9.7879470745726345E-3</v>
      </c>
      <c r="S120" s="33">
        <v>8.9347299498855171E-2</v>
      </c>
      <c r="T120" s="5">
        <v>53</v>
      </c>
      <c r="U120" s="34">
        <v>0.18707895833333332</v>
      </c>
      <c r="V120">
        <v>4.4010763454007202</v>
      </c>
    </row>
    <row r="122" spans="1:22" x14ac:dyDescent="0.2">
      <c r="A122" s="35" t="s">
        <v>86</v>
      </c>
      <c r="B122" s="36">
        <v>2014</v>
      </c>
      <c r="C122" s="37">
        <v>8.2002572914962251</v>
      </c>
      <c r="D122" s="37">
        <v>0.83001724869229399</v>
      </c>
      <c r="E122" s="40">
        <v>7.6483696309180204E-3</v>
      </c>
      <c r="F122" s="37">
        <v>1.0078</v>
      </c>
      <c r="G122" s="37">
        <v>2529568</v>
      </c>
      <c r="H122" s="38">
        <v>15.061429643612545</v>
      </c>
      <c r="I122" s="37">
        <v>2005732.8199999998</v>
      </c>
      <c r="J122" s="37">
        <v>2.6587999999999998</v>
      </c>
      <c r="K122" s="37">
        <v>34.5002</v>
      </c>
      <c r="L122" s="38">
        <v>1</v>
      </c>
      <c r="M122" s="37">
        <v>143.13480000000001</v>
      </c>
      <c r="N122" s="37">
        <v>15.015535580042112</v>
      </c>
      <c r="O122" s="37">
        <v>2.3360803524179474E-2</v>
      </c>
      <c r="P122" s="38">
        <v>4.8299849795290214E-2</v>
      </c>
      <c r="Q122" s="37">
        <v>0.99138139614693033</v>
      </c>
      <c r="R122" s="41">
        <v>7.0084428055532172E-3</v>
      </c>
      <c r="S122" s="33">
        <v>9.457781607341903E-2</v>
      </c>
      <c r="T122" s="36">
        <v>99.9</v>
      </c>
      <c r="U122" s="34">
        <v>0.12046267500000001</v>
      </c>
      <c r="V122">
        <v>6.1434340944886703</v>
      </c>
    </row>
    <row r="123" spans="1:22" x14ac:dyDescent="0.2">
      <c r="A123" s="35" t="s">
        <v>86</v>
      </c>
      <c r="B123" s="36">
        <v>2015</v>
      </c>
      <c r="C123" s="37">
        <v>7.6724455758635024</v>
      </c>
      <c r="D123" s="37">
        <v>0.96987149314077203</v>
      </c>
      <c r="E123" s="40">
        <v>1.4799435318231149E-2</v>
      </c>
      <c r="F123" s="37">
        <v>0.99390000000000001</v>
      </c>
      <c r="G123" s="37">
        <v>5881704</v>
      </c>
      <c r="H123" s="38">
        <v>132.51812167136839</v>
      </c>
      <c r="I123" s="37">
        <v>2767215.0500000003</v>
      </c>
      <c r="J123" s="37">
        <v>2.4721000000000002</v>
      </c>
      <c r="K123" s="37">
        <v>33.170999999999999</v>
      </c>
      <c r="L123" s="38">
        <v>1</v>
      </c>
      <c r="M123" s="37">
        <v>161.61359999999999</v>
      </c>
      <c r="N123" s="37">
        <v>15.046173977543255</v>
      </c>
      <c r="O123" s="37">
        <v>2.3517658167980428E-2</v>
      </c>
      <c r="P123" s="38">
        <v>6.496933864880898E-2</v>
      </c>
      <c r="Q123" s="37">
        <v>1.0083318323033728</v>
      </c>
      <c r="R123" s="41">
        <v>7.2477701267423863E-3</v>
      </c>
      <c r="S123" s="33">
        <v>5.5934460075526035E-2</v>
      </c>
      <c r="T123" s="36">
        <v>40.6</v>
      </c>
      <c r="U123" s="34">
        <v>0.11306368333333332</v>
      </c>
      <c r="V123">
        <v>6.22748867298455</v>
      </c>
    </row>
    <row r="124" spans="1:22" x14ac:dyDescent="0.2">
      <c r="A124" s="35" t="s">
        <v>86</v>
      </c>
      <c r="B124" s="36">
        <v>2016</v>
      </c>
      <c r="C124" s="37">
        <v>7.1554257536039207</v>
      </c>
      <c r="D124" s="37">
        <v>8.2474686663367731E-3</v>
      </c>
      <c r="E124" s="40">
        <v>9.5372704521001737E-3</v>
      </c>
      <c r="F124" s="37">
        <v>0.98619999999999997</v>
      </c>
      <c r="G124" s="37">
        <v>6062319</v>
      </c>
      <c r="H124" s="38">
        <v>3.0707937699687027</v>
      </c>
      <c r="I124" s="37">
        <v>3052032.75</v>
      </c>
      <c r="J124" s="37">
        <v>2.1619000000000002</v>
      </c>
      <c r="K124" s="37">
        <v>30.304600000000001</v>
      </c>
      <c r="L124" s="38">
        <v>1</v>
      </c>
      <c r="M124" s="37">
        <v>149.6387</v>
      </c>
      <c r="N124" s="37">
        <v>15.061996725639442</v>
      </c>
      <c r="O124" s="37">
        <v>2.2172856710071749E-2</v>
      </c>
      <c r="P124" s="38">
        <v>4.9202750447352075E-2</v>
      </c>
      <c r="Q124" s="37">
        <v>0.88621057741291498</v>
      </c>
      <c r="R124" s="41">
        <v>7.2364181680543401E-3</v>
      </c>
      <c r="S124" s="33">
        <v>1.5525894567969992E-2</v>
      </c>
      <c r="T124" s="36">
        <v>40.6</v>
      </c>
      <c r="U124" s="34">
        <v>0.10788815833333336</v>
      </c>
      <c r="V124">
        <v>6.6444778294468003</v>
      </c>
    </row>
    <row r="125" spans="1:22" x14ac:dyDescent="0.2">
      <c r="A125" s="35" t="s">
        <v>86</v>
      </c>
      <c r="B125" s="36">
        <v>2017</v>
      </c>
      <c r="C125" s="37">
        <v>6.811776310417109</v>
      </c>
      <c r="D125" s="37">
        <v>1.8844375608238506</v>
      </c>
      <c r="E125" s="40">
        <v>-8.2772879887005341E-3</v>
      </c>
      <c r="F125" s="37">
        <v>1.0065</v>
      </c>
      <c r="G125" s="37">
        <v>6462553</v>
      </c>
      <c r="H125" s="38">
        <v>6.6019950451304199</v>
      </c>
      <c r="I125" s="37">
        <v>3396278.0299999993</v>
      </c>
      <c r="J125" s="37">
        <v>2.2263000000000002</v>
      </c>
      <c r="K125" s="37">
        <v>28.082899999999999</v>
      </c>
      <c r="L125" s="38">
        <v>1</v>
      </c>
      <c r="M125" s="37">
        <v>153.20869999999999</v>
      </c>
      <c r="N125" s="37">
        <v>15.204127220453733</v>
      </c>
      <c r="O125" s="37">
        <v>2.3921329462857143E-2</v>
      </c>
      <c r="P125" s="38">
        <v>5.8248979724291571E-2</v>
      </c>
      <c r="Q125" s="37">
        <v>0.93869076019481179</v>
      </c>
      <c r="R125" s="41">
        <v>7.3041154102016408E-3</v>
      </c>
      <c r="S125" s="33">
        <v>9.5891306540979396E-2</v>
      </c>
      <c r="T125" s="36">
        <v>39.299999999999997</v>
      </c>
      <c r="U125" s="34">
        <v>0.10495592499999999</v>
      </c>
      <c r="V125">
        <v>6.7587550863359702</v>
      </c>
    </row>
    <row r="126" spans="1:22" x14ac:dyDescent="0.2">
      <c r="A126" s="35" t="s">
        <v>86</v>
      </c>
      <c r="B126" s="36">
        <v>2018</v>
      </c>
      <c r="C126" s="37">
        <v>6.6465595922892531</v>
      </c>
      <c r="D126" s="37">
        <v>1.6349483762882351</v>
      </c>
      <c r="E126" s="40">
        <v>1.8453485997913077E-4</v>
      </c>
      <c r="F126" s="37">
        <v>0.9859</v>
      </c>
      <c r="G126" s="37">
        <v>8857313</v>
      </c>
      <c r="H126" s="38">
        <v>37.055943680461887</v>
      </c>
      <c r="I126" s="37">
        <v>3417714.9</v>
      </c>
      <c r="J126" s="37">
        <v>2.3031000000000001</v>
      </c>
      <c r="K126" s="37">
        <v>28.7469</v>
      </c>
      <c r="L126" s="38">
        <v>1</v>
      </c>
      <c r="M126" s="37">
        <v>125.7043</v>
      </c>
      <c r="N126" s="37">
        <v>15.208532239833591</v>
      </c>
      <c r="O126" s="37">
        <v>2.6765569185475957E-2</v>
      </c>
      <c r="P126" s="38">
        <v>5.448408561974117E-2</v>
      </c>
      <c r="Q126" s="37">
        <v>1.0169282259575672</v>
      </c>
      <c r="R126" s="41">
        <v>7.0896170356171831E-3</v>
      </c>
      <c r="S126" s="33">
        <v>0.12870455661971003</v>
      </c>
      <c r="T126" s="36">
        <v>37.9</v>
      </c>
      <c r="U126" s="34">
        <v>0.14311219999999999</v>
      </c>
      <c r="V126">
        <v>6.6159571773543897</v>
      </c>
    </row>
    <row r="127" spans="1:22" x14ac:dyDescent="0.2">
      <c r="A127" s="35" t="s">
        <v>86</v>
      </c>
      <c r="B127" s="36">
        <v>2019</v>
      </c>
      <c r="C127" s="37">
        <v>6.5241362431012027</v>
      </c>
      <c r="D127" s="37">
        <v>0.59096518884844895</v>
      </c>
      <c r="E127" s="40">
        <v>4.2630684248725322E-3</v>
      </c>
      <c r="F127" s="37">
        <v>0.98609999999999998</v>
      </c>
      <c r="G127" s="37">
        <v>7887725</v>
      </c>
      <c r="H127" s="38">
        <v>-10.94675100676695</v>
      </c>
      <c r="I127" s="37">
        <v>3449254.8</v>
      </c>
      <c r="J127" s="37">
        <v>2.3081999999999998</v>
      </c>
      <c r="K127" s="37">
        <v>28.946400000000001</v>
      </c>
      <c r="L127" s="38">
        <v>1</v>
      </c>
      <c r="M127" s="37">
        <v>122.70650000000001</v>
      </c>
      <c r="N127" s="37">
        <v>15.279691457741237</v>
      </c>
      <c r="O127" s="37">
        <v>2.854727447966433E-2</v>
      </c>
      <c r="P127" s="38">
        <v>4.8194420077195446E-2</v>
      </c>
      <c r="Q127" s="37">
        <v>1.1077892156499547</v>
      </c>
      <c r="R127" s="41">
        <v>7.1835428705333219E-3</v>
      </c>
      <c r="S127" s="33">
        <v>2.7712383170145276E-2</v>
      </c>
      <c r="T127" s="36">
        <v>37.700000000000003</v>
      </c>
      <c r="U127" s="34">
        <v>0.29669430000000002</v>
      </c>
      <c r="V127">
        <v>6.9083850099290096</v>
      </c>
    </row>
    <row r="128" spans="1:22" x14ac:dyDescent="0.2">
      <c r="A128" s="35" t="s">
        <v>86</v>
      </c>
      <c r="B128" s="36">
        <v>2020</v>
      </c>
      <c r="C128" s="37">
        <v>6.0407911564555166</v>
      </c>
      <c r="D128" s="37">
        <v>-30.207280831188005</v>
      </c>
      <c r="E128" s="40">
        <v>0.31674707047464962</v>
      </c>
      <c r="F128" s="37">
        <v>0.97140000000000004</v>
      </c>
      <c r="G128" s="37">
        <v>8784445</v>
      </c>
      <c r="H128" s="38">
        <v>11.368550500936582</v>
      </c>
      <c r="I128" s="37">
        <v>4503741.7600000007</v>
      </c>
      <c r="J128" s="37">
        <v>2.1597</v>
      </c>
      <c r="K128" s="37">
        <v>29.6751</v>
      </c>
      <c r="L128" s="38">
        <v>1</v>
      </c>
      <c r="M128" s="37">
        <v>136.12639999999999</v>
      </c>
      <c r="N128" s="37">
        <v>15.446435952039797</v>
      </c>
      <c r="O128" s="37">
        <v>2.847392065327866E-2</v>
      </c>
      <c r="P128" s="38">
        <v>5.3692062611412433E-2</v>
      </c>
      <c r="Q128" s="37">
        <v>1.1405601525602409</v>
      </c>
      <c r="R128" s="41">
        <v>7.3120884191125229E-3</v>
      </c>
      <c r="S128" s="33">
        <v>2.8555740275520065E-2</v>
      </c>
      <c r="T128" s="36">
        <v>37.9</v>
      </c>
      <c r="U128" s="34">
        <v>0.27519169999999998</v>
      </c>
      <c r="V128">
        <v>6.9007672694492497</v>
      </c>
    </row>
    <row r="129" spans="1:22" x14ac:dyDescent="0.2">
      <c r="A129" s="35" t="s">
        <v>86</v>
      </c>
      <c r="B129" s="36">
        <v>2021</v>
      </c>
      <c r="C129" s="37">
        <v>6.191216197223893</v>
      </c>
      <c r="D129" s="37">
        <v>-0.328882226547006</v>
      </c>
      <c r="E129" s="40">
        <v>1.2171874883501972E-2</v>
      </c>
      <c r="F129" s="37">
        <v>0.96179999999999999</v>
      </c>
      <c r="G129" s="37">
        <v>8100994</v>
      </c>
      <c r="H129" s="38">
        <v>-7.7802410966202187</v>
      </c>
      <c r="I129" s="37">
        <v>4616599.05</v>
      </c>
      <c r="J129" s="37">
        <v>2.1433</v>
      </c>
      <c r="K129" s="37">
        <v>31.431000000000001</v>
      </c>
      <c r="L129" s="38">
        <v>1</v>
      </c>
      <c r="M129" s="37">
        <v>126.598</v>
      </c>
      <c r="N129" s="37">
        <v>15.526331084686976</v>
      </c>
      <c r="O129" s="37">
        <v>2.9213216539549759E-2</v>
      </c>
      <c r="P129" s="38">
        <v>4.0825009248982608E-2</v>
      </c>
      <c r="Q129" s="37">
        <v>1.1173091974396623</v>
      </c>
      <c r="R129" s="41">
        <v>7.731314195109161E-3</v>
      </c>
      <c r="S129" s="33">
        <v>0.21328775065622899</v>
      </c>
      <c r="T129" s="36">
        <v>38.5</v>
      </c>
      <c r="U129" s="34">
        <v>0.17849286666666667</v>
      </c>
      <c r="V129">
        <v>6.4489751802431599</v>
      </c>
    </row>
    <row r="130" spans="1:22" x14ac:dyDescent="0.2">
      <c r="A130" s="35" t="s">
        <v>86</v>
      </c>
      <c r="B130" s="36">
        <v>2022</v>
      </c>
      <c r="C130" s="37">
        <v>5.8728616505122799</v>
      </c>
      <c r="D130" s="37">
        <v>0.3089605517357713</v>
      </c>
      <c r="E130" s="40">
        <v>5.2664719918452466E-3</v>
      </c>
      <c r="F130" s="37">
        <v>0.95799999999999996</v>
      </c>
      <c r="G130" s="37">
        <v>8387877</v>
      </c>
      <c r="H130" s="38">
        <v>3.5413308539668091</v>
      </c>
      <c r="I130" s="37">
        <v>4655451.4399999995</v>
      </c>
      <c r="J130" s="37">
        <v>1.9464999999999999</v>
      </c>
      <c r="K130" s="37">
        <v>33.291699999999999</v>
      </c>
      <c r="L130" s="38">
        <v>1</v>
      </c>
      <c r="M130" s="37">
        <v>137.7603</v>
      </c>
      <c r="N130" s="37">
        <v>15.563283307987216</v>
      </c>
      <c r="O130" s="37">
        <v>2.8962264615841879E-2</v>
      </c>
      <c r="P130" s="38">
        <v>4.8635230784064579E-2</v>
      </c>
      <c r="Q130" s="37">
        <v>1.4030989767993185</v>
      </c>
      <c r="R130" s="41">
        <v>7.6738211078546904E-3</v>
      </c>
      <c r="S130" s="33">
        <v>8.0082772214906672E-3</v>
      </c>
      <c r="T130" s="36">
        <v>38.299999999999997</v>
      </c>
      <c r="U130" s="34">
        <v>0.37974000833333332</v>
      </c>
      <c r="V130">
        <v>6.7371581123711897</v>
      </c>
    </row>
    <row r="131" spans="1:22" x14ac:dyDescent="0.2">
      <c r="A131" s="35"/>
      <c r="B131" s="36"/>
      <c r="C131" s="37"/>
      <c r="D131" s="37"/>
      <c r="E131" s="40"/>
      <c r="F131" s="37"/>
      <c r="G131" s="37"/>
      <c r="H131" s="38"/>
      <c r="I131" s="37"/>
      <c r="J131" s="37"/>
      <c r="K131" s="37"/>
      <c r="L131" s="38"/>
      <c r="M131" s="37"/>
      <c r="N131" s="37"/>
      <c r="O131" s="37"/>
      <c r="P131" s="38"/>
      <c r="Q131" s="37"/>
      <c r="R131" s="41"/>
      <c r="S131" s="33"/>
      <c r="T131" s="36"/>
      <c r="U131" s="34"/>
      <c r="V131"/>
    </row>
    <row r="132" spans="1:22" x14ac:dyDescent="0.2">
      <c r="A132" s="35" t="s">
        <v>66</v>
      </c>
      <c r="B132" s="36">
        <v>2014</v>
      </c>
      <c r="C132" s="37">
        <v>8.7726789645493053</v>
      </c>
      <c r="D132" s="37">
        <v>-2.1898488825485041</v>
      </c>
      <c r="E132" s="40">
        <v>3.5832561844024377E-2</v>
      </c>
      <c r="F132" s="37">
        <v>1.0123</v>
      </c>
      <c r="G132" s="37">
        <v>1039929</v>
      </c>
      <c r="H132" s="38">
        <v>25.887202208018596</v>
      </c>
      <c r="I132" s="37">
        <v>2013170.82</v>
      </c>
      <c r="J132" s="37">
        <v>2.9249999999999998</v>
      </c>
      <c r="K132" s="37">
        <v>43.153599999999997</v>
      </c>
      <c r="L132" s="38">
        <v>1</v>
      </c>
      <c r="M132" s="37">
        <v>143.75210000000001</v>
      </c>
      <c r="N132" s="37">
        <v>14.760738539733026</v>
      </c>
      <c r="O132" s="37">
        <v>4.4216263835658437E-2</v>
      </c>
      <c r="P132" s="38">
        <v>4.6269965427938937E-2</v>
      </c>
      <c r="Q132" s="37">
        <v>1.1599133729144753</v>
      </c>
      <c r="R132" s="41">
        <v>6.3933525825055453E-3</v>
      </c>
      <c r="S132" s="33">
        <v>9.457781607341903E-2</v>
      </c>
      <c r="T132" s="36">
        <v>99.9</v>
      </c>
      <c r="U132" s="34">
        <v>0.12046267500000001</v>
      </c>
      <c r="V132">
        <v>6.1434340944886703</v>
      </c>
    </row>
    <row r="133" spans="1:22" x14ac:dyDescent="0.2">
      <c r="A133" s="35" t="s">
        <v>66</v>
      </c>
      <c r="B133" s="36">
        <v>2015</v>
      </c>
      <c r="C133" s="37">
        <v>8.0487700607387964</v>
      </c>
      <c r="D133" s="37">
        <v>2.6065962762169699</v>
      </c>
      <c r="E133" s="40">
        <v>-1.0824559963961583E-2</v>
      </c>
      <c r="F133" s="37">
        <v>0.99439999999999995</v>
      </c>
      <c r="G133" s="37">
        <v>1520823</v>
      </c>
      <c r="H133" s="38">
        <v>46.24296466393379</v>
      </c>
      <c r="I133" s="37">
        <v>3281281.5999999996</v>
      </c>
      <c r="J133" s="37">
        <v>2.6621000000000001</v>
      </c>
      <c r="K133" s="37">
        <v>41.974299999999999</v>
      </c>
      <c r="L133" s="38">
        <v>1</v>
      </c>
      <c r="M133" s="37">
        <v>157.57060000000001</v>
      </c>
      <c r="N133" s="37">
        <v>14.824344007385598</v>
      </c>
      <c r="O133" s="37">
        <v>4.5257694116790446E-2</v>
      </c>
      <c r="P133" s="38">
        <v>4.6254035844965929E-2</v>
      </c>
      <c r="Q133" s="37">
        <v>1.2546042811160127</v>
      </c>
      <c r="R133" s="41">
        <v>6.4929038247568439E-3</v>
      </c>
      <c r="S133" s="33">
        <v>5.5934460075526035E-2</v>
      </c>
      <c r="T133" s="36">
        <v>40.6</v>
      </c>
      <c r="U133" s="34">
        <v>0.11306368333333332</v>
      </c>
      <c r="V133">
        <v>6.22748867298455</v>
      </c>
    </row>
    <row r="134" spans="1:22" x14ac:dyDescent="0.2">
      <c r="A134" s="35" t="s">
        <v>66</v>
      </c>
      <c r="B134" s="36">
        <v>2016</v>
      </c>
      <c r="C134" s="37">
        <v>7.4440068480744994</v>
      </c>
      <c r="D134" s="37">
        <v>2.5828005759866124</v>
      </c>
      <c r="E134" s="40">
        <v>-1.197549638168828E-2</v>
      </c>
      <c r="F134" s="37">
        <v>0.98780000000000001</v>
      </c>
      <c r="G134" s="37">
        <v>1854782</v>
      </c>
      <c r="H134" s="38">
        <v>21.959097146742256</v>
      </c>
      <c r="I134" s="37">
        <v>3326190</v>
      </c>
      <c r="J134" s="37">
        <v>2.2504</v>
      </c>
      <c r="K134" s="37">
        <v>39.481999999999999</v>
      </c>
      <c r="L134" s="38">
        <v>1</v>
      </c>
      <c r="M134" s="37">
        <v>164.5411</v>
      </c>
      <c r="N134" s="37">
        <v>14.852247442914296</v>
      </c>
      <c r="O134" s="37">
        <v>4.1181640939597315E-2</v>
      </c>
      <c r="P134" s="38">
        <v>4.2231644471656719E-2</v>
      </c>
      <c r="Q134" s="37">
        <v>1.1431962685291073</v>
      </c>
      <c r="R134" s="41">
        <v>6.3844729617570069E-3</v>
      </c>
      <c r="S134" s="33">
        <v>1.5525894567969992E-2</v>
      </c>
      <c r="T134" s="36">
        <v>40.6</v>
      </c>
      <c r="U134" s="34">
        <v>0.10788815833333336</v>
      </c>
      <c r="V134">
        <v>6.6444778294468003</v>
      </c>
    </row>
    <row r="135" spans="1:22" x14ac:dyDescent="0.2">
      <c r="A135" s="35" t="s">
        <v>66</v>
      </c>
      <c r="B135" s="36">
        <v>2017</v>
      </c>
      <c r="C135" s="37">
        <v>7.2010919179857042</v>
      </c>
      <c r="D135" s="37">
        <v>0.39245496312433947</v>
      </c>
      <c r="E135" s="40">
        <v>7.2537511885718839E-3</v>
      </c>
      <c r="F135" s="37">
        <v>0.99399999999999999</v>
      </c>
      <c r="G135" s="37">
        <v>2465643</v>
      </c>
      <c r="H135" s="38">
        <v>32.93438258512321</v>
      </c>
      <c r="I135" s="37">
        <v>2981928.96</v>
      </c>
      <c r="J135" s="37">
        <v>2.2818000000000001</v>
      </c>
      <c r="K135" s="37">
        <v>38.736600000000003</v>
      </c>
      <c r="L135" s="38">
        <v>1</v>
      </c>
      <c r="M135" s="37">
        <v>161.5001</v>
      </c>
      <c r="N135" s="37">
        <v>14.989724940125935</v>
      </c>
      <c r="O135" s="37">
        <v>3.7713008133042E-2</v>
      </c>
      <c r="P135" s="38">
        <v>4.7534067523379971E-2</v>
      </c>
      <c r="Q135" s="37">
        <v>1.134905456839193</v>
      </c>
      <c r="R135" s="41">
        <v>6.5280074242909571E-3</v>
      </c>
      <c r="S135" s="33">
        <v>9.5891306540979396E-2</v>
      </c>
      <c r="T135" s="36">
        <v>39.299999999999997</v>
      </c>
      <c r="U135" s="34">
        <v>0.10495592499999999</v>
      </c>
      <c r="V135">
        <v>6.7587550863359702</v>
      </c>
    </row>
    <row r="136" spans="1:22" x14ac:dyDescent="0.2">
      <c r="A136" s="35" t="s">
        <v>66</v>
      </c>
      <c r="B136" s="36">
        <v>2018</v>
      </c>
      <c r="C136" s="37">
        <v>7.0955343880167678</v>
      </c>
      <c r="D136" s="37">
        <v>0.41524958550008068</v>
      </c>
      <c r="E136" s="40">
        <v>1.328778331242292E-2</v>
      </c>
      <c r="F136" s="37">
        <v>0.97629999999999995</v>
      </c>
      <c r="G136" s="37">
        <v>3421072</v>
      </c>
      <c r="H136" s="38">
        <v>38.749689229138198</v>
      </c>
      <c r="I136" s="37">
        <v>2762394.8000000003</v>
      </c>
      <c r="J136" s="37">
        <v>2.3258000000000001</v>
      </c>
      <c r="K136" s="37">
        <v>36.0991</v>
      </c>
      <c r="L136" s="38">
        <v>1</v>
      </c>
      <c r="M136" s="37">
        <v>146.68620000000001</v>
      </c>
      <c r="N136" s="37">
        <v>15.005485852646357</v>
      </c>
      <c r="O136" s="37">
        <v>4.0127924995679479E-2</v>
      </c>
      <c r="P136" s="38">
        <v>4.3265975548496198E-2</v>
      </c>
      <c r="Q136" s="37">
        <v>1.2195823554359957</v>
      </c>
      <c r="R136" s="41">
        <v>6.6935799376149178E-3</v>
      </c>
      <c r="S136" s="33">
        <v>0.12870455661971003</v>
      </c>
      <c r="T136" s="36">
        <v>37.9</v>
      </c>
      <c r="U136" s="34">
        <v>0.14311219999999999</v>
      </c>
      <c r="V136">
        <v>6.6159571773543897</v>
      </c>
    </row>
    <row r="137" spans="1:22" x14ac:dyDescent="0.2">
      <c r="A137" s="35" t="s">
        <v>66</v>
      </c>
      <c r="B137" s="36">
        <v>2019</v>
      </c>
      <c r="C137" s="37">
        <v>6.8752728708278257</v>
      </c>
      <c r="D137" s="37">
        <v>0.28615759045182709</v>
      </c>
      <c r="E137" s="40">
        <v>7.0806160508716269E-3</v>
      </c>
      <c r="F137" s="37">
        <v>0.98089999999999999</v>
      </c>
      <c r="G137" s="37">
        <v>3181618</v>
      </c>
      <c r="H137" s="38">
        <v>-6.9993849880972983</v>
      </c>
      <c r="I137" s="37">
        <v>2688381.5</v>
      </c>
      <c r="J137" s="37">
        <v>2.2301000000000002</v>
      </c>
      <c r="K137" s="37">
        <v>36.122300000000003</v>
      </c>
      <c r="L137" s="38">
        <v>1</v>
      </c>
      <c r="M137" s="37">
        <v>145.86349999999999</v>
      </c>
      <c r="N137" s="37">
        <v>15.088804179996922</v>
      </c>
      <c r="O137" s="37">
        <v>4.0460379162974937E-2</v>
      </c>
      <c r="P137" s="38">
        <v>5.8498438948806401E-2</v>
      </c>
      <c r="Q137" s="37">
        <v>1.3967230839674738</v>
      </c>
      <c r="R137" s="41">
        <v>6.8136644342376568E-3</v>
      </c>
      <c r="S137" s="33">
        <v>2.7712383170145276E-2</v>
      </c>
      <c r="T137" s="36">
        <v>37.700000000000003</v>
      </c>
      <c r="U137" s="34">
        <v>0.29669430000000002</v>
      </c>
      <c r="V137">
        <v>6.9083850099290096</v>
      </c>
    </row>
    <row r="138" spans="1:22" x14ac:dyDescent="0.2">
      <c r="A138" s="35" t="s">
        <v>66</v>
      </c>
      <c r="B138" s="36">
        <v>2020</v>
      </c>
      <c r="C138" s="37">
        <v>6.4410539967404103</v>
      </c>
      <c r="D138" s="37">
        <v>1.3798766754323781</v>
      </c>
      <c r="E138" s="40">
        <v>4.1449950220833311E-3</v>
      </c>
      <c r="F138" s="37">
        <v>0.97030000000000005</v>
      </c>
      <c r="G138" s="37">
        <v>2989497</v>
      </c>
      <c r="H138" s="38">
        <v>-6.0384684773596327</v>
      </c>
      <c r="I138" s="37">
        <v>3632828.8000000003</v>
      </c>
      <c r="J138" s="37">
        <v>2.1951999999999998</v>
      </c>
      <c r="K138" s="37">
        <v>37.261000000000003</v>
      </c>
      <c r="L138" s="38">
        <v>1</v>
      </c>
      <c r="M138" s="37">
        <v>170.1069</v>
      </c>
      <c r="N138" s="37">
        <v>15.242946862415339</v>
      </c>
      <c r="O138" s="37">
        <v>3.8563089827073176E-2</v>
      </c>
      <c r="P138" s="38">
        <v>4.3177105225255946E-2</v>
      </c>
      <c r="Q138" s="37">
        <v>1.4535642852822697</v>
      </c>
      <c r="R138" s="41">
        <v>7.3383723443683985E-3</v>
      </c>
      <c r="S138" s="33">
        <v>2.8555740275520065E-2</v>
      </c>
      <c r="T138" s="36">
        <v>37.9</v>
      </c>
      <c r="U138" s="34">
        <v>0.27519169999999998</v>
      </c>
      <c r="V138">
        <v>6.9007672694492497</v>
      </c>
    </row>
    <row r="139" spans="1:22" x14ac:dyDescent="0.2">
      <c r="A139" s="35" t="s">
        <v>66</v>
      </c>
      <c r="B139" s="36">
        <v>2021</v>
      </c>
      <c r="C139" s="37">
        <v>6.6535406764470579</v>
      </c>
      <c r="D139" s="37">
        <v>-0.89611561458354239</v>
      </c>
      <c r="E139" s="40">
        <v>2.2561757545422959E-2</v>
      </c>
      <c r="F139" s="37">
        <v>0.96389999999999998</v>
      </c>
      <c r="G139" s="37">
        <v>2613456</v>
      </c>
      <c r="H139" s="38">
        <v>-12.578738162306232</v>
      </c>
      <c r="I139" s="37">
        <v>3866809.7</v>
      </c>
      <c r="J139" s="37">
        <v>2.1219999999999999</v>
      </c>
      <c r="K139" s="37">
        <v>35.012700000000002</v>
      </c>
      <c r="L139" s="38">
        <v>1</v>
      </c>
      <c r="M139" s="37">
        <v>163.22110000000001</v>
      </c>
      <c r="N139" s="37">
        <v>15.335767468747132</v>
      </c>
      <c r="O139" s="37">
        <v>3.9755321364985163E-2</v>
      </c>
      <c r="P139" s="38">
        <v>3.866912386171828E-2</v>
      </c>
      <c r="Q139" s="37">
        <v>1.455729968122097</v>
      </c>
      <c r="R139" s="41">
        <v>7.7296425712279366E-3</v>
      </c>
      <c r="S139" s="33">
        <v>0.21328775065622899</v>
      </c>
      <c r="T139" s="36">
        <v>38.5</v>
      </c>
      <c r="U139" s="34">
        <v>0.17849286666666667</v>
      </c>
      <c r="V139">
        <v>6.4489751802431599</v>
      </c>
    </row>
    <row r="140" spans="1:22" x14ac:dyDescent="0.2">
      <c r="A140" s="35" t="s">
        <v>66</v>
      </c>
      <c r="B140" s="36">
        <v>2022</v>
      </c>
      <c r="C140" s="37">
        <v>6.3777507122248212</v>
      </c>
      <c r="D140" s="37">
        <v>-6.4156257542694428</v>
      </c>
      <c r="E140" s="40">
        <v>7.745575344547391E-2</v>
      </c>
      <c r="F140" s="37">
        <v>0.96389999999999998</v>
      </c>
      <c r="G140" s="37">
        <v>2245343</v>
      </c>
      <c r="H140" s="38">
        <v>-14.085295486130242</v>
      </c>
      <c r="I140" s="37">
        <v>3929242.3000000003</v>
      </c>
      <c r="J140" s="37">
        <v>1.9024000000000001</v>
      </c>
      <c r="K140" s="37">
        <v>37.9636</v>
      </c>
      <c r="L140" s="38">
        <v>1</v>
      </c>
      <c r="M140" s="37">
        <v>157.6765</v>
      </c>
      <c r="N140" s="37">
        <v>15.408351499491005</v>
      </c>
      <c r="O140" s="37">
        <v>3.9606607287449393E-2</v>
      </c>
      <c r="P140" s="38">
        <v>5.0266016309615691E-2</v>
      </c>
      <c r="Q140" s="37">
        <v>1.6938788195780348</v>
      </c>
      <c r="R140" s="41">
        <v>7.455393957461213E-3</v>
      </c>
      <c r="S140" s="33">
        <v>8.0082772214906672E-3</v>
      </c>
      <c r="T140" s="36">
        <v>38.299999999999997</v>
      </c>
      <c r="U140" s="34">
        <v>0.37974000833333332</v>
      </c>
      <c r="V140">
        <v>6.7371581123711897</v>
      </c>
    </row>
    <row r="141" spans="1:22" x14ac:dyDescent="0.2">
      <c r="A141" s="35"/>
      <c r="B141" s="36"/>
      <c r="C141" s="37"/>
      <c r="D141" s="37"/>
      <c r="E141" s="40"/>
      <c r="F141" s="37"/>
      <c r="G141" s="37"/>
      <c r="H141" s="38"/>
      <c r="I141" s="37"/>
      <c r="J141" s="37"/>
      <c r="K141" s="37"/>
      <c r="L141" s="38"/>
      <c r="M141" s="37"/>
      <c r="N141" s="37"/>
      <c r="O141" s="37"/>
      <c r="P141" s="38"/>
      <c r="Q141" s="37"/>
      <c r="R141" s="41"/>
      <c r="S141" s="33"/>
      <c r="T141" s="36"/>
      <c r="U141" s="34"/>
      <c r="V141"/>
    </row>
    <row r="142" spans="1:22" x14ac:dyDescent="0.2">
      <c r="A142" s="35" t="s">
        <v>67</v>
      </c>
      <c r="B142" s="36">
        <v>2014</v>
      </c>
      <c r="C142" s="37">
        <v>8.2647037996851598</v>
      </c>
      <c r="D142" s="37">
        <v>-9.4975900086327112</v>
      </c>
      <c r="E142" s="40">
        <v>0.10934836027164081</v>
      </c>
      <c r="F142" s="37">
        <v>1.0028999999999999</v>
      </c>
      <c r="G142" s="37">
        <v>1800239</v>
      </c>
      <c r="H142" s="38">
        <v>-10.800346643292853</v>
      </c>
      <c r="I142" s="37">
        <v>1823172.66</v>
      </c>
      <c r="J142" s="37">
        <v>2.7993000000000001</v>
      </c>
      <c r="K142" s="37">
        <v>35.255699999999997</v>
      </c>
      <c r="L142" s="38">
        <v>1</v>
      </c>
      <c r="M142" s="37">
        <v>133.45169999999999</v>
      </c>
      <c r="N142" s="37">
        <v>14.807798904064894</v>
      </c>
      <c r="O142" s="37">
        <v>2.6557270654524016E-2</v>
      </c>
      <c r="P142" s="38">
        <v>2.1150474650619353E-2</v>
      </c>
      <c r="Q142" s="37">
        <v>1.003578889516725</v>
      </c>
      <c r="R142" s="41">
        <v>7.2107215089667019E-3</v>
      </c>
      <c r="S142" s="33">
        <v>9.457781607341903E-2</v>
      </c>
      <c r="T142" s="36">
        <v>99.9</v>
      </c>
      <c r="U142" s="34">
        <v>0.12046267500000001</v>
      </c>
      <c r="V142">
        <v>6.1434340944886703</v>
      </c>
    </row>
    <row r="143" spans="1:22" x14ac:dyDescent="0.2">
      <c r="A143" s="35" t="s">
        <v>67</v>
      </c>
      <c r="B143" s="36">
        <v>2015</v>
      </c>
      <c r="C143" s="37">
        <v>7.6284596438580952</v>
      </c>
      <c r="D143" s="37">
        <v>3.0214154930881976</v>
      </c>
      <c r="E143" s="40">
        <v>-1.3871523996728873E-2</v>
      </c>
      <c r="F143" s="37">
        <v>0.98419999999999996</v>
      </c>
      <c r="G143" s="37">
        <v>3053503</v>
      </c>
      <c r="H143" s="38">
        <v>69.616534249063605</v>
      </c>
      <c r="I143" s="37">
        <v>2558287.7999999998</v>
      </c>
      <c r="J143" s="37">
        <v>2.6381999999999999</v>
      </c>
      <c r="K143" s="37">
        <v>35.575699999999998</v>
      </c>
      <c r="L143" s="38">
        <v>1</v>
      </c>
      <c r="M143" s="37">
        <v>160.26169999999999</v>
      </c>
      <c r="N143" s="37">
        <v>14.855221738712222</v>
      </c>
      <c r="O143" s="37">
        <v>2.3902209751268409E-2</v>
      </c>
      <c r="P143" s="38">
        <v>2.1165447550506238E-2</v>
      </c>
      <c r="Q143" s="37">
        <v>1.0415408340146408</v>
      </c>
      <c r="R143" s="41">
        <v>7.5764042519603459E-3</v>
      </c>
      <c r="S143" s="33">
        <v>5.5934460075526035E-2</v>
      </c>
      <c r="T143" s="36">
        <v>40.6</v>
      </c>
      <c r="U143" s="34">
        <v>0.11306368333333332</v>
      </c>
      <c r="V143">
        <v>6.22748867298455</v>
      </c>
    </row>
    <row r="144" spans="1:22" x14ac:dyDescent="0.2">
      <c r="A144" s="35" t="s">
        <v>67</v>
      </c>
      <c r="B144" s="36">
        <v>2016</v>
      </c>
      <c r="C144" s="37">
        <v>6.9334969534284898</v>
      </c>
      <c r="D144" s="37">
        <v>3.8600557356291181</v>
      </c>
      <c r="E144" s="40">
        <v>-2.349814211696187E-2</v>
      </c>
      <c r="F144" s="37">
        <v>0.98950000000000005</v>
      </c>
      <c r="G144" s="37">
        <v>5454577</v>
      </c>
      <c r="H144" s="38">
        <v>78.6334252823724</v>
      </c>
      <c r="I144" s="37">
        <v>2574929.9199999999</v>
      </c>
      <c r="J144" s="37">
        <v>2.2166999999999999</v>
      </c>
      <c r="K144" s="37">
        <v>36.302700000000002</v>
      </c>
      <c r="L144" s="38">
        <v>1</v>
      </c>
      <c r="M144" s="37">
        <v>177.27170000000001</v>
      </c>
      <c r="N144" s="37">
        <v>14.921032254933319</v>
      </c>
      <c r="O144" s="37">
        <v>2.2852047397001533E-2</v>
      </c>
      <c r="P144" s="38">
        <v>2.8537106755273746E-2</v>
      </c>
      <c r="Q144" s="37">
        <v>0.93548765904800435</v>
      </c>
      <c r="R144" s="41">
        <v>7.5358564072105436E-3</v>
      </c>
      <c r="S144" s="33">
        <v>1.5525894567969992E-2</v>
      </c>
      <c r="T144" s="36">
        <v>40.6</v>
      </c>
      <c r="U144" s="34">
        <v>0.10788815833333336</v>
      </c>
      <c r="V144">
        <v>6.6444778294468003</v>
      </c>
    </row>
    <row r="145" spans="1:22" x14ac:dyDescent="0.2">
      <c r="A145" s="35" t="s">
        <v>67</v>
      </c>
      <c r="B145" s="36">
        <v>2017</v>
      </c>
      <c r="C145" s="37">
        <v>6.6698438352304441</v>
      </c>
      <c r="D145" s="37">
        <v>0.22203841822905218</v>
      </c>
      <c r="E145" s="40">
        <v>1.0372204715603772E-2</v>
      </c>
      <c r="F145" s="37">
        <v>0.9909</v>
      </c>
      <c r="G145" s="37">
        <v>5823107</v>
      </c>
      <c r="H145" s="38">
        <v>6.7563442591423675</v>
      </c>
      <c r="I145" s="37">
        <v>2955113.82</v>
      </c>
      <c r="J145" s="37">
        <v>2.2267000000000001</v>
      </c>
      <c r="K145" s="37">
        <v>31.5184</v>
      </c>
      <c r="L145" s="38">
        <v>1</v>
      </c>
      <c r="M145" s="37">
        <v>145.74680000000001</v>
      </c>
      <c r="N145" s="37">
        <v>15.039344811385766</v>
      </c>
      <c r="O145" s="37">
        <v>2.5494603146588676E-2</v>
      </c>
      <c r="P145" s="38">
        <v>2.5811213237569564E-2</v>
      </c>
      <c r="Q145" s="37">
        <v>0.99356531098588619</v>
      </c>
      <c r="R145" s="41">
        <v>7.7336023980856608E-3</v>
      </c>
      <c r="S145" s="33">
        <v>9.5891306540979396E-2</v>
      </c>
      <c r="T145" s="36">
        <v>39.299999999999997</v>
      </c>
      <c r="U145" s="34">
        <v>0.10495592499999999</v>
      </c>
      <c r="V145">
        <v>6.7587550863359702</v>
      </c>
    </row>
    <row r="146" spans="1:22" x14ac:dyDescent="0.2">
      <c r="A146" s="35" t="s">
        <v>67</v>
      </c>
      <c r="B146" s="36">
        <v>2018</v>
      </c>
      <c r="C146" s="37">
        <v>6.6874949194174143</v>
      </c>
      <c r="D146" s="37">
        <v>0.62960324129820044</v>
      </c>
      <c r="E146" s="40">
        <v>1.0663637948218303E-2</v>
      </c>
      <c r="F146" s="37">
        <v>0.97940000000000005</v>
      </c>
      <c r="G146" s="37">
        <v>5339087</v>
      </c>
      <c r="H146" s="38">
        <v>-8.3120574634812652</v>
      </c>
      <c r="I146" s="37">
        <v>2920326.5</v>
      </c>
      <c r="J146" s="37">
        <v>2.2888999999999999</v>
      </c>
      <c r="K146" s="37">
        <v>31.360099999999999</v>
      </c>
      <c r="L146" s="38">
        <v>1</v>
      </c>
      <c r="M146" s="37">
        <v>142.45150000000001</v>
      </c>
      <c r="N146" s="37">
        <v>15.032231755112377</v>
      </c>
      <c r="O146" s="37">
        <v>2.7704434397518015E-2</v>
      </c>
      <c r="P146" s="38">
        <v>3.7055192347300418E-2</v>
      </c>
      <c r="Q146" s="37">
        <v>1.0530978630990482</v>
      </c>
      <c r="R146" s="41">
        <v>7.8637904597177507E-3</v>
      </c>
      <c r="S146" s="33">
        <v>0.12870455661971003</v>
      </c>
      <c r="T146" s="36">
        <v>37.9</v>
      </c>
      <c r="U146" s="34">
        <v>0.14311219999999999</v>
      </c>
      <c r="V146">
        <v>6.6159571773543897</v>
      </c>
    </row>
    <row r="147" spans="1:22" x14ac:dyDescent="0.2">
      <c r="A147" s="35" t="s">
        <v>67</v>
      </c>
      <c r="B147" s="36">
        <v>2019</v>
      </c>
      <c r="C147" s="37">
        <v>6.5509034377603159</v>
      </c>
      <c r="D147" s="37">
        <v>0.65405063451431678</v>
      </c>
      <c r="E147" s="40">
        <v>4.8350424044767007E-3</v>
      </c>
      <c r="F147" s="37">
        <v>0.97719999999999996</v>
      </c>
      <c r="G147" s="37">
        <v>4348535</v>
      </c>
      <c r="H147" s="38">
        <v>-18.552834969724223</v>
      </c>
      <c r="I147" s="37">
        <v>3051267.37</v>
      </c>
      <c r="J147" s="37">
        <v>2.3212000000000002</v>
      </c>
      <c r="K147" s="37">
        <v>30.6966</v>
      </c>
      <c r="L147" s="38">
        <v>1</v>
      </c>
      <c r="M147" s="37">
        <v>145.30080000000001</v>
      </c>
      <c r="N147" s="37">
        <v>15.111031930642254</v>
      </c>
      <c r="O147" s="37">
        <v>3.209202340563589E-2</v>
      </c>
      <c r="P147" s="38">
        <v>4.1391298930183951E-2</v>
      </c>
      <c r="Q147" s="37">
        <v>1.1423970721194383</v>
      </c>
      <c r="R147" s="41">
        <v>7.8760167604177301E-3</v>
      </c>
      <c r="S147" s="33">
        <v>2.7712383170145276E-2</v>
      </c>
      <c r="T147" s="36">
        <v>37.700000000000003</v>
      </c>
      <c r="U147" s="34">
        <v>0.29669430000000002</v>
      </c>
      <c r="V147">
        <v>6.9083850099290096</v>
      </c>
    </row>
    <row r="148" spans="1:22" x14ac:dyDescent="0.2">
      <c r="A148" s="35" t="s">
        <v>67</v>
      </c>
      <c r="B148" s="36">
        <v>2020</v>
      </c>
      <c r="C148" s="37">
        <v>6.0682999206489665</v>
      </c>
      <c r="D148" s="37">
        <v>1.3355953484265761</v>
      </c>
      <c r="E148" s="40">
        <v>2.6158414599043978E-3</v>
      </c>
      <c r="F148" s="37">
        <v>0.96399999999999997</v>
      </c>
      <c r="G148" s="37">
        <v>4237317</v>
      </c>
      <c r="H148" s="38">
        <v>-2.5575969838117896</v>
      </c>
      <c r="I148" s="37">
        <v>3994508</v>
      </c>
      <c r="J148" s="37">
        <v>2.1920999999999999</v>
      </c>
      <c r="K148" s="37">
        <v>32.624400000000001</v>
      </c>
      <c r="L148" s="38">
        <v>1</v>
      </c>
      <c r="M148" s="37">
        <v>148.9066</v>
      </c>
      <c r="N148" s="37">
        <v>15.27644846207993</v>
      </c>
      <c r="O148" s="37">
        <v>3.0718582849347108E-2</v>
      </c>
      <c r="P148" s="38">
        <v>3.1229449657657147E-2</v>
      </c>
      <c r="Q148" s="37">
        <v>1.2296678155163965</v>
      </c>
      <c r="R148" s="41">
        <v>7.9167580310842874E-3</v>
      </c>
      <c r="S148" s="33">
        <v>2.8555740275520065E-2</v>
      </c>
      <c r="T148" s="36">
        <v>37.9</v>
      </c>
      <c r="U148" s="34">
        <v>0.27519169999999998</v>
      </c>
      <c r="V148">
        <v>6.9007672694492497</v>
      </c>
    </row>
    <row r="149" spans="1:22" x14ac:dyDescent="0.2">
      <c r="A149" s="35" t="s">
        <v>67</v>
      </c>
      <c r="B149" s="36">
        <v>2021</v>
      </c>
      <c r="C149" s="37">
        <v>6.2103276684343056</v>
      </c>
      <c r="D149" s="37">
        <v>-0.26433185894150535</v>
      </c>
      <c r="E149" s="40">
        <v>1.5471680482601271E-2</v>
      </c>
      <c r="F149" s="37">
        <v>0.9546</v>
      </c>
      <c r="G149" s="37">
        <v>3897807</v>
      </c>
      <c r="H149" s="38">
        <v>-8.0123814196577694</v>
      </c>
      <c r="I149" s="37">
        <v>4186244.0999999996</v>
      </c>
      <c r="J149" s="37">
        <v>2.1463000000000001</v>
      </c>
      <c r="K149" s="37">
        <v>33.78</v>
      </c>
      <c r="L149" s="38">
        <v>1</v>
      </c>
      <c r="M149" s="37">
        <v>134.1234</v>
      </c>
      <c r="N149" s="37">
        <v>15.375716208518149</v>
      </c>
      <c r="O149" s="37">
        <v>3.3887078337276104E-2</v>
      </c>
      <c r="P149" s="38">
        <v>2.6611762398980346E-2</v>
      </c>
      <c r="Q149" s="37">
        <v>1.1993184883554897</v>
      </c>
      <c r="R149" s="41">
        <v>8.1169997366547925E-3</v>
      </c>
      <c r="S149" s="33">
        <v>0.21328775065622899</v>
      </c>
      <c r="T149" s="36">
        <v>38.5</v>
      </c>
      <c r="U149" s="34">
        <v>0.17849286666666667</v>
      </c>
      <c r="V149">
        <v>6.4489751802431599</v>
      </c>
    </row>
    <row r="150" spans="1:22" x14ac:dyDescent="0.2">
      <c r="A150" s="35" t="s">
        <v>67</v>
      </c>
      <c r="B150" s="36">
        <v>2022</v>
      </c>
      <c r="C150" s="37">
        <v>5.9847327191774724</v>
      </c>
      <c r="D150" s="37">
        <v>0.70739487601875117</v>
      </c>
      <c r="E150" s="40">
        <v>7.0282379857586584E-3</v>
      </c>
      <c r="F150" s="37">
        <v>0.95309999999999995</v>
      </c>
      <c r="G150" s="37">
        <v>3467721</v>
      </c>
      <c r="H150" s="38">
        <v>-11.034050685423882</v>
      </c>
      <c r="I150" s="37">
        <v>4244702.28</v>
      </c>
      <c r="J150" s="37">
        <v>2.0175000000000001</v>
      </c>
      <c r="K150" s="37">
        <v>36.3123</v>
      </c>
      <c r="L150" s="38">
        <v>1</v>
      </c>
      <c r="M150" s="37">
        <v>160.45249999999999</v>
      </c>
      <c r="N150" s="37">
        <v>15.428063613298519</v>
      </c>
      <c r="O150" s="37">
        <v>3.3292812989300626E-2</v>
      </c>
      <c r="P150" s="38">
        <v>3.3046229098545869E-2</v>
      </c>
      <c r="Q150" s="37">
        <v>1.3836832132347181</v>
      </c>
      <c r="R150" s="41">
        <v>8.1202954623498004E-3</v>
      </c>
      <c r="S150" s="33">
        <v>8.0082772214906672E-3</v>
      </c>
      <c r="T150" s="36">
        <v>38.299999999999997</v>
      </c>
      <c r="U150" s="34">
        <v>0.37974000833333332</v>
      </c>
      <c r="V150">
        <v>6.7371581123711897</v>
      </c>
    </row>
    <row r="151" spans="1:22" x14ac:dyDescent="0.2">
      <c r="A151" s="35"/>
      <c r="B151" s="36"/>
      <c r="C151" s="37"/>
      <c r="D151" s="37"/>
      <c r="E151" s="40"/>
      <c r="F151" s="37"/>
      <c r="G151" s="37"/>
      <c r="H151" s="38"/>
      <c r="I151" s="37"/>
      <c r="J151" s="37"/>
      <c r="K151" s="37"/>
      <c r="L151" s="38"/>
      <c r="M151" s="37"/>
      <c r="N151" s="37"/>
      <c r="O151" s="37"/>
      <c r="P151" s="38"/>
      <c r="Q151" s="37"/>
      <c r="R151" s="41"/>
      <c r="S151" s="33"/>
      <c r="T151" s="36"/>
      <c r="U151" s="34"/>
      <c r="V151"/>
    </row>
    <row r="152" spans="1:22" x14ac:dyDescent="0.2">
      <c r="A152" s="35" t="s">
        <v>68</v>
      </c>
      <c r="B152" s="36">
        <v>2014</v>
      </c>
      <c r="C152" s="37">
        <v>8.63306660459752</v>
      </c>
      <c r="D152" s="37">
        <v>-12.30869458550346</v>
      </c>
      <c r="E152" s="40">
        <v>0.13779010050986762</v>
      </c>
      <c r="F152" s="37">
        <v>1.0064</v>
      </c>
      <c r="G152" s="37">
        <v>3860392</v>
      </c>
      <c r="H152" s="38">
        <v>23.822308012318103</v>
      </c>
      <c r="I152" s="37">
        <v>1618917.3</v>
      </c>
      <c r="J152" s="37">
        <v>2.2543000000000002</v>
      </c>
      <c r="K152" s="37">
        <v>39.276600000000002</v>
      </c>
      <c r="L152" s="38">
        <v>1</v>
      </c>
      <c r="M152" s="37">
        <v>224.96850000000001</v>
      </c>
      <c r="N152" s="37">
        <v>14.714451651503316</v>
      </c>
      <c r="O152" s="37">
        <v>2.2224480755158788E-2</v>
      </c>
      <c r="P152" s="38">
        <v>7.5370632951278105E-2</v>
      </c>
      <c r="Q152" s="37">
        <v>1.2234064262012505</v>
      </c>
      <c r="R152" s="41">
        <v>7.793066695717595E-3</v>
      </c>
      <c r="S152" s="33">
        <v>9.457781607341903E-2</v>
      </c>
      <c r="T152" s="36">
        <v>99.9</v>
      </c>
      <c r="U152" s="34">
        <v>0.12046267500000001</v>
      </c>
      <c r="V152">
        <v>6.1434340944886703</v>
      </c>
    </row>
    <row r="153" spans="1:22" x14ac:dyDescent="0.2">
      <c r="A153" s="35" t="s">
        <v>68</v>
      </c>
      <c r="B153" s="36">
        <v>2015</v>
      </c>
      <c r="C153" s="37">
        <v>7.966860918518722</v>
      </c>
      <c r="D153" s="37">
        <v>5.1113206614623055</v>
      </c>
      <c r="E153" s="40">
        <v>-3.2529058371831822E-2</v>
      </c>
      <c r="F153" s="37">
        <v>0.99299999999999999</v>
      </c>
      <c r="G153" s="37">
        <v>5995734</v>
      </c>
      <c r="H153" s="38">
        <v>55.314123539785598</v>
      </c>
      <c r="I153" s="37">
        <v>2017612.8</v>
      </c>
      <c r="J153" s="37">
        <v>2.117</v>
      </c>
      <c r="K153" s="37">
        <v>39.6355</v>
      </c>
      <c r="L153" s="38">
        <v>1</v>
      </c>
      <c r="M153" s="37">
        <v>213.43520000000001</v>
      </c>
      <c r="N153" s="37">
        <v>14.767940336454302</v>
      </c>
      <c r="O153" s="37">
        <v>2.1964934810396249E-2</v>
      </c>
      <c r="P153" s="38">
        <v>6.263800773510135E-2</v>
      </c>
      <c r="Q153" s="37">
        <v>1.2559353094623589</v>
      </c>
      <c r="R153" s="41">
        <v>7.7800488758117776E-3</v>
      </c>
      <c r="S153" s="33">
        <v>5.5934460075526035E-2</v>
      </c>
      <c r="T153" s="36">
        <v>40.6</v>
      </c>
      <c r="U153" s="34">
        <v>0.11306368333333332</v>
      </c>
      <c r="V153">
        <v>6.22748867298455</v>
      </c>
    </row>
    <row r="154" spans="1:22" x14ac:dyDescent="0.2">
      <c r="A154" s="35" t="s">
        <v>68</v>
      </c>
      <c r="B154" s="36">
        <v>2016</v>
      </c>
      <c r="C154" s="37">
        <v>7.1120596456864975</v>
      </c>
      <c r="D154" s="37">
        <v>2.6897474466915212</v>
      </c>
      <c r="E154" s="40">
        <v>-1.2064381361909125E-2</v>
      </c>
      <c r="F154" s="37">
        <v>0.98180000000000001</v>
      </c>
      <c r="G154" s="37">
        <v>7878945</v>
      </c>
      <c r="H154" s="38">
        <v>31.40918192835106</v>
      </c>
      <c r="I154" s="37">
        <v>2103928.4</v>
      </c>
      <c r="J154" s="37">
        <v>1.8314999999999999</v>
      </c>
      <c r="K154" s="37">
        <v>36.217799999999997</v>
      </c>
      <c r="L154" s="38">
        <v>1</v>
      </c>
      <c r="M154" s="37">
        <v>200.38319999999999</v>
      </c>
      <c r="N154" s="37">
        <v>14.776851134392137</v>
      </c>
      <c r="O154" s="37">
        <v>2.3835854637812258E-2</v>
      </c>
      <c r="P154" s="38">
        <v>5.6077640182133889E-2</v>
      </c>
      <c r="Q154" s="37">
        <v>1.1741462208687998</v>
      </c>
      <c r="R154" s="41">
        <v>7.707376272794165E-3</v>
      </c>
      <c r="S154" s="33">
        <v>1.5525894567969992E-2</v>
      </c>
      <c r="T154" s="36">
        <v>40.6</v>
      </c>
      <c r="U154" s="34">
        <v>0.10788815833333336</v>
      </c>
      <c r="V154">
        <v>6.6444778294468003</v>
      </c>
    </row>
    <row r="155" spans="1:22" x14ac:dyDescent="0.2">
      <c r="A155" s="35" t="s">
        <v>68</v>
      </c>
      <c r="B155" s="36">
        <v>2017</v>
      </c>
      <c r="C155" s="37">
        <v>6.9338059726538877</v>
      </c>
      <c r="D155" s="37">
        <v>0.33803844943526262</v>
      </c>
      <c r="E155" s="40">
        <v>8.3254358411516526E-3</v>
      </c>
      <c r="F155" s="37">
        <v>0.98499999999999999</v>
      </c>
      <c r="G155" s="37">
        <v>10112431</v>
      </c>
      <c r="H155" s="38">
        <v>28.347526223371279</v>
      </c>
      <c r="I155" s="37">
        <v>2435406.5999999996</v>
      </c>
      <c r="J155" s="37">
        <v>1.8523000000000001</v>
      </c>
      <c r="K155" s="37">
        <v>36.368299999999998</v>
      </c>
      <c r="L155" s="38">
        <v>1</v>
      </c>
      <c r="M155" s="37">
        <v>221.40889999999999</v>
      </c>
      <c r="N155" s="37">
        <v>14.91141919505807</v>
      </c>
      <c r="O155" s="37">
        <v>2.3149427658685138E-2</v>
      </c>
      <c r="P155" s="38">
        <v>4.9224149443127786E-2</v>
      </c>
      <c r="Q155" s="37">
        <v>1.2817972334175085</v>
      </c>
      <c r="R155" s="41">
        <v>7.9783665376021943E-3</v>
      </c>
      <c r="S155" s="33">
        <v>9.5891306540979396E-2</v>
      </c>
      <c r="T155" s="36">
        <v>39.299999999999997</v>
      </c>
      <c r="U155" s="34">
        <v>0.10495592499999999</v>
      </c>
      <c r="V155">
        <v>6.7587550863359702</v>
      </c>
    </row>
    <row r="156" spans="1:22" x14ac:dyDescent="0.2">
      <c r="A156" s="35" t="s">
        <v>68</v>
      </c>
      <c r="B156" s="36">
        <v>2018</v>
      </c>
      <c r="C156" s="37">
        <v>6.7089066005619218</v>
      </c>
      <c r="D156" s="37">
        <v>0.48033461174762526</v>
      </c>
      <c r="E156" s="40">
        <v>9.0802264900776489E-3</v>
      </c>
      <c r="F156" s="37">
        <v>0.96989999999999998</v>
      </c>
      <c r="G156" s="37">
        <v>11209791</v>
      </c>
      <c r="H156" s="38">
        <v>10.851594438567739</v>
      </c>
      <c r="I156" s="37">
        <v>2427063</v>
      </c>
      <c r="J156" s="37">
        <v>1.9046000000000001</v>
      </c>
      <c r="K156" s="37">
        <v>33.265599999999999</v>
      </c>
      <c r="L156" s="38">
        <v>1</v>
      </c>
      <c r="M156" s="37">
        <v>234.58090000000001</v>
      </c>
      <c r="N156" s="37">
        <v>14.944264003544371</v>
      </c>
      <c r="O156" s="37">
        <v>2.3068057011145473E-2</v>
      </c>
      <c r="P156" s="38">
        <v>7.9382898800578278E-2</v>
      </c>
      <c r="Q156" s="37">
        <v>1.4497802311148753</v>
      </c>
      <c r="R156" s="41">
        <v>7.9200354371251978E-3</v>
      </c>
      <c r="S156" s="33">
        <v>0.12870455661971003</v>
      </c>
      <c r="T156" s="36">
        <v>37.9</v>
      </c>
      <c r="U156" s="34">
        <v>0.14311219999999999</v>
      </c>
      <c r="V156">
        <v>6.6159571773543897</v>
      </c>
    </row>
    <row r="157" spans="1:22" x14ac:dyDescent="0.2">
      <c r="A157" s="35" t="s">
        <v>68</v>
      </c>
      <c r="B157" s="36">
        <v>2019</v>
      </c>
      <c r="C157" s="37">
        <v>6.5183583099104583</v>
      </c>
      <c r="D157" s="37">
        <v>0.48533284736740234</v>
      </c>
      <c r="E157" s="40">
        <v>5.9173846707561003E-3</v>
      </c>
      <c r="F157" s="37">
        <v>0.97250000000000003</v>
      </c>
      <c r="G157" s="37">
        <v>10637104</v>
      </c>
      <c r="H157" s="38">
        <v>-5.1088106816621295</v>
      </c>
      <c r="I157" s="37">
        <v>2559677.7200000002</v>
      </c>
      <c r="J157" s="37">
        <v>1.9078999999999999</v>
      </c>
      <c r="K157" s="37">
        <v>36.640099999999997</v>
      </c>
      <c r="L157" s="38">
        <v>1</v>
      </c>
      <c r="M157" s="37">
        <v>218.50409999999999</v>
      </c>
      <c r="N157" s="37">
        <v>15.000269961366071</v>
      </c>
      <c r="O157" s="37">
        <v>2.4895727461636829E-2</v>
      </c>
      <c r="P157" s="38">
        <v>5.9137982004441064E-2</v>
      </c>
      <c r="Q157" s="37">
        <v>1.4742575753300025</v>
      </c>
      <c r="R157" s="41">
        <v>8.262328898140275E-3</v>
      </c>
      <c r="S157" s="33">
        <v>2.7712383170145276E-2</v>
      </c>
      <c r="T157" s="36">
        <v>37.700000000000003</v>
      </c>
      <c r="U157" s="34">
        <v>0.29669430000000002</v>
      </c>
      <c r="V157">
        <v>6.9083850099290096</v>
      </c>
    </row>
    <row r="158" spans="1:22" x14ac:dyDescent="0.2">
      <c r="A158" s="35" t="s">
        <v>68</v>
      </c>
      <c r="B158" s="36">
        <v>2020</v>
      </c>
      <c r="C158" s="37">
        <v>6.2988721056320554</v>
      </c>
      <c r="D158" s="37">
        <v>1.5141142452508032</v>
      </c>
      <c r="E158" s="40">
        <v>1.1490673738317802E-4</v>
      </c>
      <c r="F158" s="37">
        <v>0.96289999999999998</v>
      </c>
      <c r="G158" s="37">
        <v>11013335</v>
      </c>
      <c r="H158" s="38">
        <v>3.536968332734173</v>
      </c>
      <c r="I158" s="37">
        <v>3175566.8400000003</v>
      </c>
      <c r="J158" s="37">
        <v>1.8516999999999999</v>
      </c>
      <c r="K158" s="37">
        <v>37.667999999999999</v>
      </c>
      <c r="L158" s="38">
        <v>1</v>
      </c>
      <c r="M158" s="37">
        <v>208.10499999999999</v>
      </c>
      <c r="N158" s="37">
        <v>15.134221767760369</v>
      </c>
      <c r="O158" s="37">
        <v>2.3624528854118729E-2</v>
      </c>
      <c r="P158" s="38">
        <v>6.1232312641865676E-2</v>
      </c>
      <c r="Q158" s="37">
        <v>1.4048970052812322</v>
      </c>
      <c r="R158" s="41">
        <v>8.4030455210241384E-3</v>
      </c>
      <c r="S158" s="33">
        <v>2.8555740275520065E-2</v>
      </c>
      <c r="T158" s="36">
        <v>37.9</v>
      </c>
      <c r="U158" s="34">
        <v>0.27519169999999998</v>
      </c>
      <c r="V158">
        <v>6.9007672694492497</v>
      </c>
    </row>
    <row r="159" spans="1:22" x14ac:dyDescent="0.2">
      <c r="A159" s="35" t="s">
        <v>68</v>
      </c>
      <c r="B159" s="36">
        <v>2021</v>
      </c>
      <c r="C159" s="37">
        <v>6.4992414405315913</v>
      </c>
      <c r="D159" s="37">
        <v>-2.1657508376468595</v>
      </c>
      <c r="E159" s="40">
        <v>3.2022820934690277E-2</v>
      </c>
      <c r="F159" s="37">
        <v>0.95989999999999998</v>
      </c>
      <c r="G159" s="37">
        <v>10912162</v>
      </c>
      <c r="H159" s="38">
        <v>-0.91864090214272065</v>
      </c>
      <c r="I159" s="37">
        <v>3284741.46</v>
      </c>
      <c r="J159" s="37">
        <v>1.7799</v>
      </c>
      <c r="K159" s="37">
        <v>38.195999999999998</v>
      </c>
      <c r="L159" s="38">
        <v>1</v>
      </c>
      <c r="M159" s="37">
        <v>233.697</v>
      </c>
      <c r="N159" s="37">
        <v>15.25159458358668</v>
      </c>
      <c r="O159" s="37">
        <v>2.482707920711974E-2</v>
      </c>
      <c r="P159" s="38">
        <v>7.3886543226165863E-2</v>
      </c>
      <c r="Q159" s="37">
        <v>1.3242107713023739</v>
      </c>
      <c r="R159" s="41">
        <v>8.6603280283840262E-3</v>
      </c>
      <c r="S159" s="33">
        <v>0.21328775065622899</v>
      </c>
      <c r="T159" s="36">
        <v>38.5</v>
      </c>
      <c r="U159" s="34">
        <v>0.17849286666666667</v>
      </c>
      <c r="V159">
        <v>6.4489751802431599</v>
      </c>
    </row>
    <row r="160" spans="1:22" x14ac:dyDescent="0.2">
      <c r="A160" s="35" t="s">
        <v>68</v>
      </c>
      <c r="B160" s="36">
        <v>2022</v>
      </c>
      <c r="C160" s="37">
        <v>6.3008481173617481</v>
      </c>
      <c r="D160" s="37">
        <v>4.6710235948752352</v>
      </c>
      <c r="E160" s="40">
        <v>-3.5385416474635792E-2</v>
      </c>
      <c r="F160" s="37">
        <v>0.95920000000000005</v>
      </c>
      <c r="G160" s="37">
        <v>11503597</v>
      </c>
      <c r="H160" s="38">
        <v>5.4199616904514425</v>
      </c>
      <c r="I160" s="37">
        <v>3358178.94</v>
      </c>
      <c r="J160" s="37">
        <v>1.7783</v>
      </c>
      <c r="K160" s="37">
        <v>23.369900000000001</v>
      </c>
      <c r="L160" s="38">
        <v>1</v>
      </c>
      <c r="M160" s="37">
        <v>205.27610000000001</v>
      </c>
      <c r="N160" s="37">
        <v>15.24780548164485</v>
      </c>
      <c r="O160" s="37">
        <v>2.4882414989781481E-2</v>
      </c>
      <c r="P160" s="38">
        <v>7.2370893797663399E-2</v>
      </c>
      <c r="Q160" s="37">
        <v>1.4847508381610448</v>
      </c>
      <c r="R160" s="41">
        <v>8.6887637163017995E-3</v>
      </c>
      <c r="S160" s="33">
        <v>8.0082772214906672E-3</v>
      </c>
      <c r="T160" s="36">
        <v>38.299999999999997</v>
      </c>
      <c r="U160" s="34">
        <v>0.37974000833333332</v>
      </c>
      <c r="V160">
        <v>6.7371581123711897</v>
      </c>
    </row>
    <row r="161" spans="1:22" x14ac:dyDescent="0.2">
      <c r="A161" s="35"/>
      <c r="B161" s="36"/>
      <c r="C161" s="37"/>
      <c r="D161" s="37"/>
      <c r="E161" s="40"/>
      <c r="F161" s="37"/>
      <c r="G161" s="37"/>
      <c r="H161" s="38"/>
      <c r="I161" s="37"/>
      <c r="J161" s="37"/>
      <c r="K161" s="37"/>
      <c r="L161" s="38"/>
      <c r="M161" s="37"/>
      <c r="N161" s="37"/>
      <c r="O161" s="37"/>
      <c r="P161" s="38"/>
      <c r="Q161" s="37"/>
      <c r="R161" s="41"/>
      <c r="S161" s="33"/>
      <c r="T161" s="36"/>
      <c r="U161" s="34"/>
      <c r="V161"/>
    </row>
    <row r="162" spans="1:22" x14ac:dyDescent="0.2">
      <c r="A162" s="35" t="s">
        <v>31</v>
      </c>
      <c r="B162" s="36">
        <v>2014</v>
      </c>
      <c r="C162" s="8">
        <v>13.307513026130838</v>
      </c>
      <c r="D162" s="37">
        <v>3.1802150900411044</v>
      </c>
      <c r="E162" s="6">
        <v>-1.4716038986051084E-2</v>
      </c>
      <c r="F162" s="11">
        <v>1.0358000000000001</v>
      </c>
      <c r="G162" s="8">
        <v>150824332</v>
      </c>
      <c r="H162" s="38">
        <v>-0.99608910994036359</v>
      </c>
      <c r="I162" s="37">
        <v>185879.52278667997</v>
      </c>
      <c r="J162" s="11">
        <v>2.4908999999999999</v>
      </c>
      <c r="K162" s="11">
        <v>73.937899999999999</v>
      </c>
      <c r="L162" s="38">
        <v>1</v>
      </c>
      <c r="M162" s="8">
        <v>235.92830000000001</v>
      </c>
      <c r="N162" s="8">
        <v>12.641847984813294</v>
      </c>
      <c r="O162" s="8">
        <v>1.1323908027564528E-2</v>
      </c>
      <c r="P162" s="8">
        <v>1.6567902632977614E-2</v>
      </c>
      <c r="Q162" s="8">
        <v>1.9002248967382915</v>
      </c>
      <c r="R162" s="41">
        <v>1.1571742425614165E-2</v>
      </c>
      <c r="S162" s="33">
        <v>8.2815448769750916E-2</v>
      </c>
      <c r="T162" s="36">
        <v>49.8</v>
      </c>
      <c r="U162" s="34">
        <v>0.29875190000000001</v>
      </c>
      <c r="V162">
        <v>1052.8399999999999</v>
      </c>
    </row>
    <row r="163" spans="1:22" x14ac:dyDescent="0.2">
      <c r="A163" s="35" t="s">
        <v>31</v>
      </c>
      <c r="B163" s="36">
        <v>2015</v>
      </c>
      <c r="C163" s="8">
        <v>13.721907433524663</v>
      </c>
      <c r="D163" s="37">
        <v>-2.0438862858989673</v>
      </c>
      <c r="E163" s="6">
        <v>4.0430361736552796E-2</v>
      </c>
      <c r="F163" s="11">
        <v>1.0258</v>
      </c>
      <c r="G163" s="8">
        <v>184331961</v>
      </c>
      <c r="H163" s="38">
        <v>22.216328463500172</v>
      </c>
      <c r="I163" s="37">
        <v>143852.07329679999</v>
      </c>
      <c r="J163" s="11">
        <v>2.2553999999999998</v>
      </c>
      <c r="K163" s="11">
        <v>71.724100000000007</v>
      </c>
      <c r="L163" s="38">
        <v>1</v>
      </c>
      <c r="M163" s="8">
        <v>226.06960000000001</v>
      </c>
      <c r="N163" s="8">
        <v>12.660707360730832</v>
      </c>
      <c r="O163" s="8">
        <v>9.3198988574862748E-3</v>
      </c>
      <c r="P163" s="8">
        <v>1.243315551635763E-2</v>
      </c>
      <c r="Q163" s="8">
        <v>1.4893311030973606</v>
      </c>
      <c r="R163" s="41">
        <v>1.1427959231179344E-2</v>
      </c>
      <c r="S163" s="33">
        <v>-1.2493934145101969E-2</v>
      </c>
      <c r="T163" s="36">
        <v>50.1</v>
      </c>
      <c r="U163" s="34">
        <v>0.11522837500000001</v>
      </c>
      <c r="V163">
        <v>1130.9525000000001</v>
      </c>
    </row>
    <row r="164" spans="1:22" x14ac:dyDescent="0.2">
      <c r="A164" s="35" t="s">
        <v>31</v>
      </c>
      <c r="B164" s="36">
        <v>2016</v>
      </c>
      <c r="C164" s="8">
        <v>14.640564341011409</v>
      </c>
      <c r="D164" s="37">
        <v>5.1400401595364054</v>
      </c>
      <c r="E164" s="6">
        <v>-3.4136192105875873E-2</v>
      </c>
      <c r="F164" s="11">
        <v>1.0331999999999999</v>
      </c>
      <c r="G164" s="8">
        <v>236414522</v>
      </c>
      <c r="H164" s="38">
        <v>28.254764240261082</v>
      </c>
      <c r="I164" s="37">
        <v>132101.98318037999</v>
      </c>
      <c r="J164" s="11">
        <v>2.2225000000000001</v>
      </c>
      <c r="K164" s="11">
        <v>71.580600000000004</v>
      </c>
      <c r="L164" s="38">
        <v>1</v>
      </c>
      <c r="M164" s="8">
        <v>247.7192</v>
      </c>
      <c r="N164" s="8">
        <v>12.699404080221056</v>
      </c>
      <c r="O164" s="8">
        <v>9.0323398090475238E-3</v>
      </c>
      <c r="P164" s="8">
        <v>1.4248513752351111E-2</v>
      </c>
      <c r="Q164" s="8">
        <v>1.2956880415360539</v>
      </c>
      <c r="R164" s="41">
        <v>1.1115668832920247E-2</v>
      </c>
      <c r="S164" s="33">
        <v>2.342678227586574E-2</v>
      </c>
      <c r="T164" s="36">
        <v>64.099999999999994</v>
      </c>
      <c r="U164" s="34">
        <v>0.10451268333333334</v>
      </c>
      <c r="V164">
        <v>1160.7674999999999</v>
      </c>
    </row>
    <row r="165" spans="1:22" x14ac:dyDescent="0.2">
      <c r="A165" s="35" t="s">
        <v>31</v>
      </c>
      <c r="B165" s="36">
        <v>2017</v>
      </c>
      <c r="C165" s="8">
        <v>14.362697327988233</v>
      </c>
      <c r="D165" s="37">
        <v>0.32131668578179678</v>
      </c>
      <c r="E165" s="6">
        <v>1.0502330769899749E-2</v>
      </c>
      <c r="F165" s="11">
        <v>1.0455000000000001</v>
      </c>
      <c r="G165" s="8">
        <v>245088318</v>
      </c>
      <c r="H165" s="38">
        <v>3.6688930640225221</v>
      </c>
      <c r="I165" s="37">
        <v>137435.93146059001</v>
      </c>
      <c r="J165" s="11">
        <v>2.2315</v>
      </c>
      <c r="K165" s="11">
        <v>68.946200000000005</v>
      </c>
      <c r="L165" s="38">
        <v>1</v>
      </c>
      <c r="M165" s="8">
        <v>257.1798</v>
      </c>
      <c r="N165" s="8">
        <v>12.897736100663735</v>
      </c>
      <c r="O165" s="8">
        <v>8.315222975444762E-3</v>
      </c>
      <c r="P165" s="8">
        <v>1.4629069179640384E-2</v>
      </c>
      <c r="Q165" s="8">
        <v>1.0331994161730549</v>
      </c>
      <c r="R165" s="41">
        <v>1.1140945696934851E-2</v>
      </c>
      <c r="S165" s="33">
        <v>8.2520461084358843E-2</v>
      </c>
      <c r="T165" s="36">
        <v>55.3</v>
      </c>
      <c r="U165" s="34">
        <v>6.2295183333333337E-2</v>
      </c>
      <c r="V165">
        <v>1131.0008333333301</v>
      </c>
    </row>
    <row r="166" spans="1:22" x14ac:dyDescent="0.2">
      <c r="A166" s="35" t="s">
        <v>31</v>
      </c>
      <c r="B166" s="36">
        <v>2018</v>
      </c>
      <c r="C166" s="8">
        <v>14.420689352579728</v>
      </c>
      <c r="D166" s="37">
        <v>0.80405391622226308</v>
      </c>
      <c r="E166" s="6">
        <v>7.4371239527993094E-3</v>
      </c>
      <c r="F166" s="11">
        <v>1.0323</v>
      </c>
      <c r="G166" s="8">
        <v>293456368</v>
      </c>
      <c r="H166" s="38">
        <v>19.734947138524976</v>
      </c>
      <c r="I166" s="37">
        <v>118417.78369508</v>
      </c>
      <c r="J166" s="11">
        <v>2.1953</v>
      </c>
      <c r="K166" s="11">
        <v>66.919200000000004</v>
      </c>
      <c r="L166" s="38">
        <v>1</v>
      </c>
      <c r="M166" s="8">
        <v>275.31209999999999</v>
      </c>
      <c r="N166" s="8">
        <v>12.930595746275316</v>
      </c>
      <c r="O166" s="8">
        <v>9.013419269424703E-3</v>
      </c>
      <c r="P166" s="8">
        <v>1.778491681150763E-2</v>
      </c>
      <c r="Q166" s="8">
        <v>1.109110259312563</v>
      </c>
      <c r="R166" s="41">
        <v>1.1408844589097697E-2</v>
      </c>
      <c r="S166" s="33">
        <v>6.2161478999902813E-2</v>
      </c>
      <c r="T166" s="36">
        <v>82.1</v>
      </c>
      <c r="U166" s="34">
        <v>0.11812107500000001</v>
      </c>
      <c r="V166">
        <v>1100.16333333333</v>
      </c>
    </row>
    <row r="167" spans="1:22" x14ac:dyDescent="0.2">
      <c r="A167" s="35" t="s">
        <v>31</v>
      </c>
      <c r="B167" s="36">
        <v>2019</v>
      </c>
      <c r="C167" s="8">
        <v>13.621025888420805</v>
      </c>
      <c r="D167" s="37">
        <v>1.1736046222539105</v>
      </c>
      <c r="E167" s="6">
        <v>1.5625002741865045E-3</v>
      </c>
      <c r="F167" s="11">
        <v>1.0375000000000001</v>
      </c>
      <c r="G167" s="8">
        <v>321461303</v>
      </c>
      <c r="H167" s="38">
        <v>9.5431341943140247</v>
      </c>
      <c r="I167" s="37">
        <v>124118.2725606</v>
      </c>
      <c r="J167" s="11">
        <v>2.1901999999999999</v>
      </c>
      <c r="K167" s="11">
        <v>70.558899999999994</v>
      </c>
      <c r="L167" s="38">
        <v>1</v>
      </c>
      <c r="M167" s="8">
        <v>285.81670000000003</v>
      </c>
      <c r="N167" s="8">
        <v>13.077988777347301</v>
      </c>
      <c r="O167" s="8">
        <v>8.2374634983222485E-3</v>
      </c>
      <c r="P167" s="8">
        <v>1.5528832711663583E-2</v>
      </c>
      <c r="Q167" s="8">
        <v>1.1798868601719787</v>
      </c>
      <c r="R167" s="41">
        <v>1.1053174644720274E-2</v>
      </c>
      <c r="S167" s="33">
        <v>-4.2567684038611962E-2</v>
      </c>
      <c r="T167" s="36">
        <v>82.1</v>
      </c>
      <c r="U167" s="34">
        <v>0.10839685</v>
      </c>
      <c r="V167">
        <v>1165.3575000000001</v>
      </c>
    </row>
    <row r="168" spans="1:22" x14ac:dyDescent="0.2">
      <c r="A168" s="35" t="s">
        <v>31</v>
      </c>
      <c r="B168" s="36">
        <v>2020</v>
      </c>
      <c r="C168" s="8">
        <v>12.128635901454363</v>
      </c>
      <c r="D168" s="37">
        <v>-0.72967870825351833</v>
      </c>
      <c r="E168" s="6">
        <v>3.7044469223512289E-2</v>
      </c>
      <c r="F168" s="11">
        <v>0.99880000000000002</v>
      </c>
      <c r="G168" s="8">
        <v>290049318</v>
      </c>
      <c r="H168" s="38">
        <v>-9.7716224960364819</v>
      </c>
      <c r="I168" s="37">
        <v>127683.93982628999</v>
      </c>
      <c r="J168" s="11">
        <v>1.9802</v>
      </c>
      <c r="K168" s="11">
        <v>69.656199999999998</v>
      </c>
      <c r="L168" s="38">
        <v>1</v>
      </c>
      <c r="M168" s="8">
        <v>270.32810000000001</v>
      </c>
      <c r="N168" s="8">
        <v>13.228294438530131</v>
      </c>
      <c r="O168" s="8">
        <v>8.5196637912497413E-3</v>
      </c>
      <c r="P168" s="8">
        <v>1.4851537184295155E-2</v>
      </c>
      <c r="Q168" s="8">
        <v>0.98806134297204695</v>
      </c>
      <c r="R168" s="41">
        <v>1.1006866838636444E-2</v>
      </c>
      <c r="S168" s="33">
        <v>-4.305467025402558E-3</v>
      </c>
      <c r="T168" s="36">
        <v>56.9</v>
      </c>
      <c r="U168" s="34">
        <v>0.13288566666666665</v>
      </c>
      <c r="V168">
        <v>1180.26583333333</v>
      </c>
    </row>
    <row r="169" spans="1:22" x14ac:dyDescent="0.2">
      <c r="A169" s="35" t="s">
        <v>31</v>
      </c>
      <c r="B169" s="36">
        <v>2021</v>
      </c>
      <c r="C169" s="8">
        <v>13.061030138901449</v>
      </c>
      <c r="D169" s="37">
        <v>-0.57528652258726276</v>
      </c>
      <c r="E169" s="6">
        <v>2.220523129177801E-2</v>
      </c>
      <c r="F169" s="11">
        <v>1.0306999999999999</v>
      </c>
      <c r="G169" s="8">
        <v>324383695</v>
      </c>
      <c r="H169" s="38">
        <v>11.837427247458654</v>
      </c>
      <c r="I169" s="37">
        <v>114598.62663848001</v>
      </c>
      <c r="J169" s="11">
        <v>1.9925999999999999</v>
      </c>
      <c r="K169" s="11">
        <v>68.280600000000007</v>
      </c>
      <c r="L169" s="38">
        <v>1</v>
      </c>
      <c r="M169" s="8">
        <v>264.62979999999999</v>
      </c>
      <c r="N169" s="8">
        <v>13.207935897352133</v>
      </c>
      <c r="O169" s="8">
        <v>8.072989663786263E-3</v>
      </c>
      <c r="P169" s="8">
        <v>3.7193876153701434E-2</v>
      </c>
      <c r="Q169" s="8">
        <v>0.66481203576272585</v>
      </c>
      <c r="R169" s="41">
        <v>1.0751103138963554E-2</v>
      </c>
      <c r="S169" s="33">
        <v>0.10134512568818534</v>
      </c>
      <c r="T169" s="36">
        <v>56.4</v>
      </c>
      <c r="U169" s="34">
        <v>0.10445814166666667</v>
      </c>
      <c r="V169">
        <v>1143.95166666667</v>
      </c>
    </row>
    <row r="170" spans="1:22" x14ac:dyDescent="0.2">
      <c r="A170" s="35" t="s">
        <v>31</v>
      </c>
      <c r="B170" s="36">
        <v>2022</v>
      </c>
      <c r="C170" s="8">
        <v>14.136867141991015</v>
      </c>
      <c r="D170" s="37">
        <v>0.62849007255028966</v>
      </c>
      <c r="E170" s="6">
        <v>1.1503250682298636E-2</v>
      </c>
      <c r="F170" s="11">
        <v>1.03</v>
      </c>
      <c r="G170" s="8">
        <v>344412052</v>
      </c>
      <c r="H170" s="38">
        <v>6.174279813909882</v>
      </c>
      <c r="I170" s="37">
        <v>143331.24171024002</v>
      </c>
      <c r="J170" s="11">
        <v>2.1665999999999999</v>
      </c>
      <c r="K170" s="11">
        <v>68.943899999999999</v>
      </c>
      <c r="L170" s="38">
        <v>1</v>
      </c>
      <c r="M170" s="8">
        <v>261.72710000000001</v>
      </c>
      <c r="N170" s="8">
        <v>13.195669946491808</v>
      </c>
      <c r="O170" s="8">
        <v>8.7773288377839091E-3</v>
      </c>
      <c r="P170" s="8">
        <v>3.5349903813926532E-2</v>
      </c>
      <c r="Q170" s="8">
        <v>1.2919934598080767</v>
      </c>
      <c r="R170" s="41">
        <v>1.0859808534779497E-2</v>
      </c>
      <c r="S170" s="33">
        <v>-8.0460454663042441E-2</v>
      </c>
      <c r="T170" s="36">
        <v>56.3</v>
      </c>
      <c r="U170" s="34">
        <v>0.180137675</v>
      </c>
      <c r="V170">
        <v>1291.4466666666699</v>
      </c>
    </row>
    <row r="171" spans="1:22" x14ac:dyDescent="0.2">
      <c r="A171" s="35"/>
      <c r="B171" s="36"/>
      <c r="C171" s="8"/>
      <c r="D171" s="37"/>
      <c r="E171" s="6"/>
      <c r="F171" s="11"/>
      <c r="G171" s="8"/>
      <c r="H171" s="38"/>
      <c r="I171" s="37"/>
      <c r="J171" s="11"/>
      <c r="K171" s="11"/>
      <c r="L171" s="38"/>
      <c r="M171" s="8"/>
      <c r="N171" s="8"/>
      <c r="O171" s="8"/>
      <c r="P171" s="8"/>
      <c r="Q171" s="8"/>
      <c r="R171" s="41"/>
      <c r="S171" s="33"/>
      <c r="T171" s="36"/>
      <c r="U171" s="34"/>
      <c r="V171"/>
    </row>
    <row r="172" spans="1:22" x14ac:dyDescent="0.2">
      <c r="A172" s="35" t="s">
        <v>32</v>
      </c>
      <c r="B172" s="36">
        <v>2014</v>
      </c>
      <c r="C172" s="8">
        <v>2.2696035525521685</v>
      </c>
      <c r="D172" s="37">
        <v>5.6036256350219498</v>
      </c>
      <c r="E172" s="6">
        <v>-4.0341412699977992E-2</v>
      </c>
      <c r="F172" s="11">
        <v>1.0358000000000001</v>
      </c>
      <c r="G172" s="8">
        <v>382116161</v>
      </c>
      <c r="H172" s="38">
        <v>28.877986929633376</v>
      </c>
      <c r="I172" s="37">
        <v>285324.20303183998</v>
      </c>
      <c r="J172" s="11">
        <v>1.7746</v>
      </c>
      <c r="K172" s="11">
        <v>68.915599999999998</v>
      </c>
      <c r="L172" s="38">
        <v>1</v>
      </c>
      <c r="M172" s="8">
        <v>242.51480000000001</v>
      </c>
      <c r="N172" s="8">
        <v>12.573049172091295</v>
      </c>
      <c r="O172" s="8">
        <v>9.8250697986014407E-3</v>
      </c>
      <c r="P172" s="8">
        <v>3.0627873789312539E-2</v>
      </c>
      <c r="Q172" s="8">
        <v>4.4719956390868765</v>
      </c>
      <c r="R172" s="41">
        <v>1.0702798309359354E-2</v>
      </c>
      <c r="S172" s="33">
        <v>8.2815448769750916E-2</v>
      </c>
      <c r="T172" s="36">
        <v>49.8</v>
      </c>
      <c r="U172" s="34">
        <v>0.29875190000000001</v>
      </c>
      <c r="V172">
        <v>1052.8399999999999</v>
      </c>
    </row>
    <row r="173" spans="1:22" x14ac:dyDescent="0.2">
      <c r="A173" s="35" t="s">
        <v>32</v>
      </c>
      <c r="B173" s="36">
        <v>2015</v>
      </c>
      <c r="C173" s="8">
        <v>2.1308643176725095</v>
      </c>
      <c r="D173" s="37">
        <v>-0.38778134387544244</v>
      </c>
      <c r="E173" s="6">
        <v>2.2382432628685934E-2</v>
      </c>
      <c r="F173" s="11">
        <v>1.0258</v>
      </c>
      <c r="G173" s="8">
        <v>365572561</v>
      </c>
      <c r="H173" s="38">
        <v>-4.329468807784866</v>
      </c>
      <c r="I173" s="37">
        <v>243237.71188950998</v>
      </c>
      <c r="J173" s="11">
        <v>1.6433</v>
      </c>
      <c r="K173" s="11">
        <v>74.485500000000002</v>
      </c>
      <c r="L173" s="38">
        <v>1</v>
      </c>
      <c r="M173" s="8">
        <v>228.2919</v>
      </c>
      <c r="N173" s="8">
        <v>12.535440167257837</v>
      </c>
      <c r="O173" s="8">
        <v>9.98315315968854E-3</v>
      </c>
      <c r="P173" s="8">
        <v>2.5186166346570994E-2</v>
      </c>
      <c r="Q173" s="8">
        <v>4.4498320244579457</v>
      </c>
      <c r="R173" s="41">
        <v>1.0810333752055196E-2</v>
      </c>
      <c r="S173" s="33">
        <v>-1.2493934145101969E-2</v>
      </c>
      <c r="T173" s="36">
        <v>50.1</v>
      </c>
      <c r="U173" s="34">
        <v>0.11522837500000001</v>
      </c>
      <c r="V173">
        <v>1130.9525000000001</v>
      </c>
    </row>
    <row r="174" spans="1:22" x14ac:dyDescent="0.2">
      <c r="A174" s="35" t="s">
        <v>32</v>
      </c>
      <c r="B174" s="36">
        <v>2016</v>
      </c>
      <c r="C174" s="8">
        <v>2.7813915348982725</v>
      </c>
      <c r="D174" s="37">
        <v>10.775441727838469</v>
      </c>
      <c r="E174" s="6">
        <v>-8.4425354357168289E-2</v>
      </c>
      <c r="F174" s="11">
        <v>1.0331999999999999</v>
      </c>
      <c r="G174" s="8">
        <v>381043121</v>
      </c>
      <c r="H174" s="38">
        <v>4.2318712207725016</v>
      </c>
      <c r="I174" s="37">
        <v>177721.86932428001</v>
      </c>
      <c r="J174" s="11">
        <v>1.6236999999999999</v>
      </c>
      <c r="K174" s="11">
        <v>70.359399999999994</v>
      </c>
      <c r="L174" s="38">
        <v>1</v>
      </c>
      <c r="M174" s="8">
        <v>223.8263</v>
      </c>
      <c r="N174" s="8">
        <v>12.571509838892158</v>
      </c>
      <c r="O174" s="8">
        <v>7.8985477417139374E-3</v>
      </c>
      <c r="P174" s="8">
        <v>2.5644559289663298E-2</v>
      </c>
      <c r="Q174" s="8">
        <v>2.3160871284830482</v>
      </c>
      <c r="R174" s="41">
        <v>1.0360322973420193E-2</v>
      </c>
      <c r="S174" s="33">
        <v>2.342678227586574E-2</v>
      </c>
      <c r="T174" s="36">
        <v>64.099999999999994</v>
      </c>
      <c r="U174" s="34">
        <v>0.10451268333333334</v>
      </c>
      <c r="V174">
        <v>1160.7674999999999</v>
      </c>
    </row>
    <row r="175" spans="1:22" x14ac:dyDescent="0.2">
      <c r="A175" s="35" t="s">
        <v>32</v>
      </c>
      <c r="B175" s="36">
        <v>2017</v>
      </c>
      <c r="C175" s="8">
        <v>3.8832145928853619</v>
      </c>
      <c r="D175" s="37">
        <v>1.390287985717207</v>
      </c>
      <c r="E175" s="6">
        <v>5.9577189590153097E-3</v>
      </c>
      <c r="F175" s="11">
        <v>1.0455000000000001</v>
      </c>
      <c r="G175" s="8">
        <v>409180470</v>
      </c>
      <c r="H175" s="38">
        <v>7.3842952278359064</v>
      </c>
      <c r="I175" s="37">
        <v>177455.377851</v>
      </c>
      <c r="J175" s="11">
        <v>1.6817</v>
      </c>
      <c r="K175" s="11">
        <v>61.188299999999998</v>
      </c>
      <c r="L175" s="38">
        <v>1</v>
      </c>
      <c r="M175" s="8">
        <v>224.2336</v>
      </c>
      <c r="N175" s="8">
        <v>12.72892853014894</v>
      </c>
      <c r="O175" s="8">
        <v>7.1182655245564707E-3</v>
      </c>
      <c r="P175" s="8">
        <v>2.3248484649020587E-2</v>
      </c>
      <c r="Q175" s="8">
        <v>1.3905790125737068</v>
      </c>
      <c r="R175" s="41">
        <v>1.0365689485998522E-2</v>
      </c>
      <c r="S175" s="33">
        <v>8.2520461084358843E-2</v>
      </c>
      <c r="T175" s="36">
        <v>55.3</v>
      </c>
      <c r="U175" s="34">
        <v>6.2295183333333337E-2</v>
      </c>
      <c r="V175">
        <v>1131.0008333333301</v>
      </c>
    </row>
    <row r="176" spans="1:22" x14ac:dyDescent="0.2">
      <c r="A176" s="35" t="s">
        <v>32</v>
      </c>
      <c r="B176" s="36">
        <v>2018</v>
      </c>
      <c r="C176" s="8">
        <v>4.0385108255366999</v>
      </c>
      <c r="D176" s="37">
        <v>1.9002464592634547</v>
      </c>
      <c r="E176" s="6">
        <v>1.1735334794655272E-3</v>
      </c>
      <c r="F176" s="11">
        <v>1.0323</v>
      </c>
      <c r="G176" s="8">
        <v>473692096</v>
      </c>
      <c r="H176" s="38">
        <v>15.766056967479411</v>
      </c>
      <c r="I176" s="37">
        <v>138719.41727127999</v>
      </c>
      <c r="J176" s="11">
        <v>1.7131000000000001</v>
      </c>
      <c r="K176" s="11">
        <v>60.684800000000003</v>
      </c>
      <c r="L176" s="38">
        <v>1</v>
      </c>
      <c r="M176" s="8">
        <v>222.9965</v>
      </c>
      <c r="N176" s="8">
        <v>12.753503814145001</v>
      </c>
      <c r="O176" s="8">
        <v>6.7915437002517296E-3</v>
      </c>
      <c r="P176" s="8">
        <v>1.3643863766481083E-2</v>
      </c>
      <c r="Q176" s="8">
        <v>1.4922114438538723</v>
      </c>
      <c r="R176" s="41">
        <v>1.0233737624817595E-2</v>
      </c>
      <c r="S176" s="33">
        <v>6.2161478999902813E-2</v>
      </c>
      <c r="T176" s="36">
        <v>82.1</v>
      </c>
      <c r="U176" s="34">
        <v>0.11812107500000001</v>
      </c>
      <c r="V176">
        <v>1100.16333333333</v>
      </c>
    </row>
    <row r="177" spans="1:22" x14ac:dyDescent="0.2">
      <c r="A177" s="35" t="s">
        <v>32</v>
      </c>
      <c r="B177" s="36">
        <v>2019</v>
      </c>
      <c r="C177" s="8">
        <v>3.990010605753878</v>
      </c>
      <c r="D177" s="37">
        <v>1.1625889339031883</v>
      </c>
      <c r="E177" s="6">
        <v>3.7097314627702895E-3</v>
      </c>
      <c r="F177" s="11">
        <v>1.0375000000000001</v>
      </c>
      <c r="G177" s="8">
        <v>529041774</v>
      </c>
      <c r="H177" s="38">
        <v>11.684737505098671</v>
      </c>
      <c r="I177" s="37">
        <v>118024.78672908001</v>
      </c>
      <c r="J177" s="11">
        <v>1.6257999999999999</v>
      </c>
      <c r="K177" s="11">
        <v>61.556699999999999</v>
      </c>
      <c r="L177" s="38">
        <v>1</v>
      </c>
      <c r="M177" s="8">
        <v>223.84739999999999</v>
      </c>
      <c r="N177" s="8">
        <v>12.807515270254147</v>
      </c>
      <c r="O177" s="8">
        <v>5.9157143808035119E-3</v>
      </c>
      <c r="P177" s="8">
        <v>1.5442266931436277E-2</v>
      </c>
      <c r="Q177" s="8">
        <v>1.6459616414309171</v>
      </c>
      <c r="R177" s="41">
        <v>9.9737369442252921E-3</v>
      </c>
      <c r="S177" s="33">
        <v>-4.2567684038611962E-2</v>
      </c>
      <c r="T177" s="36">
        <v>82.1</v>
      </c>
      <c r="U177" s="34">
        <v>0.10839685</v>
      </c>
      <c r="V177">
        <v>1165.3575000000001</v>
      </c>
    </row>
    <row r="178" spans="1:22" x14ac:dyDescent="0.2">
      <c r="A178" s="35" t="s">
        <v>32</v>
      </c>
      <c r="B178" s="36">
        <v>2020</v>
      </c>
      <c r="C178" s="8">
        <v>4.0194580311483152</v>
      </c>
      <c r="D178" s="37">
        <v>6.788267053103364E-2</v>
      </c>
      <c r="E178" s="6">
        <v>3.2815999265516628E-2</v>
      </c>
      <c r="F178" s="11">
        <v>0.99880000000000002</v>
      </c>
      <c r="G178" s="8">
        <v>499811760</v>
      </c>
      <c r="H178" s="38">
        <v>-5.5250861910197662</v>
      </c>
      <c r="I178" s="37">
        <v>115923.86794817999</v>
      </c>
      <c r="J178" s="11">
        <v>1.4942</v>
      </c>
      <c r="K178" s="11">
        <v>55.911700000000003</v>
      </c>
      <c r="L178" s="38">
        <v>1</v>
      </c>
      <c r="M178" s="8">
        <v>238.67449999999999</v>
      </c>
      <c r="N178" s="8">
        <v>12.954586455684666</v>
      </c>
      <c r="O178" s="8">
        <v>5.9373426640194314E-3</v>
      </c>
      <c r="P178" s="8">
        <v>1.6028900450623378E-2</v>
      </c>
      <c r="Q178" s="8">
        <v>1.1032931346545809</v>
      </c>
      <c r="R178" s="41">
        <v>1.0090798729993463E-2</v>
      </c>
      <c r="S178" s="33">
        <v>-4.305467025402558E-3</v>
      </c>
      <c r="T178" s="36">
        <v>56.9</v>
      </c>
      <c r="U178" s="34">
        <v>0.13288566666666665</v>
      </c>
      <c r="V178">
        <v>1180.26583333333</v>
      </c>
    </row>
    <row r="179" spans="1:22" x14ac:dyDescent="0.2">
      <c r="A179" s="35" t="s">
        <v>32</v>
      </c>
      <c r="B179" s="36">
        <v>2021</v>
      </c>
      <c r="C179" s="8">
        <v>4.8417588094571986</v>
      </c>
      <c r="D179" s="37">
        <v>-0.25076178525382564</v>
      </c>
      <c r="E179" s="6">
        <v>2.2593716114981347E-2</v>
      </c>
      <c r="F179" s="11">
        <v>1.0306999999999999</v>
      </c>
      <c r="G179" s="8">
        <v>525859753</v>
      </c>
      <c r="H179" s="38">
        <v>5.2115606483528918</v>
      </c>
      <c r="I179" s="37">
        <v>93523.161798150002</v>
      </c>
      <c r="J179" s="11">
        <v>1.7536</v>
      </c>
      <c r="K179" s="11">
        <v>55.767699999999998</v>
      </c>
      <c r="L179" s="38">
        <v>1</v>
      </c>
      <c r="M179" s="8">
        <v>241.1893</v>
      </c>
      <c r="N179" s="8">
        <v>12.95329709386256</v>
      </c>
      <c r="O179" s="8">
        <v>5.8439535619486897E-3</v>
      </c>
      <c r="P179" s="8">
        <v>5.361931360790119E-2</v>
      </c>
      <c r="Q179" s="8">
        <v>0.73458977705998785</v>
      </c>
      <c r="R179" s="41">
        <v>1.00749772768293E-2</v>
      </c>
      <c r="S179" s="33">
        <v>0.10134512568818534</v>
      </c>
      <c r="T179" s="36">
        <v>56.4</v>
      </c>
      <c r="U179" s="34">
        <v>0.10445814166666667</v>
      </c>
      <c r="V179">
        <v>1143.95166666667</v>
      </c>
    </row>
    <row r="180" spans="1:22" x14ac:dyDescent="0.2">
      <c r="A180" s="35" t="s">
        <v>32</v>
      </c>
      <c r="B180" s="36">
        <v>2022</v>
      </c>
      <c r="C180" s="8">
        <v>4.3945937496866403</v>
      </c>
      <c r="D180" s="37">
        <v>0.73089717489328587</v>
      </c>
      <c r="E180" s="6">
        <v>1.5204249004354842E-2</v>
      </c>
      <c r="F180" s="11">
        <v>1.03</v>
      </c>
      <c r="G180" s="8">
        <v>683918114</v>
      </c>
      <c r="H180" s="38">
        <v>30.057132172273317</v>
      </c>
      <c r="I180" s="37">
        <v>100305.21213225</v>
      </c>
      <c r="J180" s="11">
        <v>1.9158999999999999</v>
      </c>
      <c r="K180" s="11">
        <v>56.682600000000001</v>
      </c>
      <c r="L180" s="38">
        <v>1</v>
      </c>
      <c r="M180" s="8">
        <v>253.39109999999999</v>
      </c>
      <c r="N180" s="8">
        <v>13.023305627523039</v>
      </c>
      <c r="O180" s="8">
        <v>6.8824839464435416E-3</v>
      </c>
      <c r="P180" s="8">
        <v>6.956683989055526E-2</v>
      </c>
      <c r="Q180" s="8">
        <v>1.4810117205154809</v>
      </c>
      <c r="R180" s="41">
        <v>9.6972269029068064E-3</v>
      </c>
      <c r="S180" s="33">
        <v>-8.0460454663042441E-2</v>
      </c>
      <c r="T180" s="36">
        <v>56.3</v>
      </c>
      <c r="U180" s="34">
        <v>0.180137675</v>
      </c>
      <c r="V180">
        <v>1291.4466666666699</v>
      </c>
    </row>
    <row r="181" spans="1:22" x14ac:dyDescent="0.2">
      <c r="A181" s="35"/>
      <c r="B181" s="36"/>
      <c r="C181" s="8"/>
      <c r="D181" s="37"/>
      <c r="E181" s="6"/>
      <c r="F181" s="11"/>
      <c r="G181" s="8"/>
      <c r="H181" s="38"/>
      <c r="I181" s="37"/>
      <c r="J181" s="11"/>
      <c r="K181" s="11"/>
      <c r="L181" s="38"/>
      <c r="M181" s="8"/>
      <c r="N181" s="8"/>
      <c r="O181" s="8"/>
      <c r="P181" s="8"/>
      <c r="Q181" s="8"/>
      <c r="R181" s="41"/>
      <c r="S181" s="33"/>
      <c r="T181" s="36"/>
      <c r="U181" s="34"/>
      <c r="V181"/>
    </row>
    <row r="182" spans="1:22" x14ac:dyDescent="0.2">
      <c r="A182" s="35" t="s">
        <v>34</v>
      </c>
      <c r="B182" s="36">
        <v>2014</v>
      </c>
      <c r="C182" s="8">
        <v>5.6668233964622603</v>
      </c>
      <c r="D182" s="37">
        <v>3.174159553083991</v>
      </c>
      <c r="E182" s="6">
        <v>-1.6869162682403863E-2</v>
      </c>
      <c r="F182" s="11">
        <v>0.98370000000000002</v>
      </c>
      <c r="G182" s="8">
        <v>14941918</v>
      </c>
      <c r="H182" s="38">
        <v>84.410409828528969</v>
      </c>
      <c r="I182" s="37">
        <v>72493.276313239985</v>
      </c>
      <c r="J182" s="11">
        <v>2.4365999999999999</v>
      </c>
      <c r="K182" s="11">
        <v>55.8416</v>
      </c>
      <c r="L182" s="38">
        <v>1</v>
      </c>
      <c r="M182" s="8">
        <v>255.56290000000001</v>
      </c>
      <c r="N182" s="8">
        <v>11.250150203955226</v>
      </c>
      <c r="O182" s="8">
        <v>1.0400083705204479E-2</v>
      </c>
      <c r="P182" s="8">
        <v>9.2450174652793805E-3</v>
      </c>
      <c r="Q182" s="8">
        <v>2.1664556178672334</v>
      </c>
      <c r="R182" s="41">
        <v>1.0658411855686774E-2</v>
      </c>
      <c r="S182" s="33">
        <v>8.2815448769750916E-2</v>
      </c>
      <c r="T182" s="36">
        <v>49.8</v>
      </c>
      <c r="U182" s="34">
        <v>0.29875190000000001</v>
      </c>
      <c r="V182">
        <v>1052.8399999999999</v>
      </c>
    </row>
    <row r="183" spans="1:22" x14ac:dyDescent="0.2">
      <c r="A183" s="35" t="s">
        <v>34</v>
      </c>
      <c r="B183" s="36">
        <v>2015</v>
      </c>
      <c r="C183" s="8">
        <v>2.7235600760614282</v>
      </c>
      <c r="D183" s="37">
        <v>-9.1035475905320826</v>
      </c>
      <c r="E183" s="6">
        <v>0.11916454130029092</v>
      </c>
      <c r="F183" s="11">
        <v>0.9587</v>
      </c>
      <c r="G183" s="8">
        <v>9202968</v>
      </c>
      <c r="H183" s="38">
        <v>-38.408389070265272</v>
      </c>
      <c r="I183" s="37">
        <v>75724.968492040003</v>
      </c>
      <c r="J183" s="11">
        <v>2.6044</v>
      </c>
      <c r="K183" s="11">
        <v>55.685200000000002</v>
      </c>
      <c r="L183" s="38">
        <v>1</v>
      </c>
      <c r="M183" s="8">
        <v>229.03229999999999</v>
      </c>
      <c r="N183" s="8">
        <v>11.248657930833552</v>
      </c>
      <c r="O183" s="8">
        <v>1.049982824213949E-2</v>
      </c>
      <c r="P183" s="8">
        <v>1.2669745549502285E-2</v>
      </c>
      <c r="Q183" s="8">
        <v>1.8460916964481398</v>
      </c>
      <c r="R183" s="41">
        <v>1.0435371583389415E-2</v>
      </c>
      <c r="S183" s="33">
        <v>-1.2493934145101969E-2</v>
      </c>
      <c r="T183" s="36">
        <v>50.1</v>
      </c>
      <c r="U183" s="34">
        <v>0.11522837500000001</v>
      </c>
      <c r="V183">
        <v>1130.9525000000001</v>
      </c>
    </row>
    <row r="184" spans="1:22" x14ac:dyDescent="0.2">
      <c r="A184" s="35" t="s">
        <v>34</v>
      </c>
      <c r="B184" s="36">
        <v>2016</v>
      </c>
      <c r="C184" s="8">
        <v>2.7067569197468391</v>
      </c>
      <c r="D184" s="37">
        <v>7.8942510242693977</v>
      </c>
      <c r="E184" s="6">
        <v>-5.9601253500445643E-2</v>
      </c>
      <c r="F184" s="11">
        <v>0.9577</v>
      </c>
      <c r="G184" s="8">
        <v>10226644</v>
      </c>
      <c r="H184" s="38">
        <v>11.123324562249918</v>
      </c>
      <c r="I184" s="37">
        <v>58016.703582180002</v>
      </c>
      <c r="J184" s="11">
        <v>2.5789</v>
      </c>
      <c r="K184" s="11">
        <v>56.401600000000002</v>
      </c>
      <c r="L184" s="38">
        <v>1</v>
      </c>
      <c r="M184" s="8">
        <v>213.26349999999999</v>
      </c>
      <c r="N184" s="8">
        <v>11.256568393335918</v>
      </c>
      <c r="O184" s="8">
        <v>9.3894927654572871E-3</v>
      </c>
      <c r="P184" s="8">
        <v>9.1934415813509519E-3</v>
      </c>
      <c r="Q184" s="8">
        <v>1.5522559831137124</v>
      </c>
      <c r="R184" s="41">
        <v>1.056395809580354E-2</v>
      </c>
      <c r="S184" s="33">
        <v>2.342678227586574E-2</v>
      </c>
      <c r="T184" s="36">
        <v>64.099999999999994</v>
      </c>
      <c r="U184" s="34">
        <v>0.10451268333333334</v>
      </c>
      <c r="V184">
        <v>1160.7674999999999</v>
      </c>
    </row>
    <row r="185" spans="1:22" x14ac:dyDescent="0.2">
      <c r="A185" s="35" t="s">
        <v>34</v>
      </c>
      <c r="B185" s="36">
        <v>2017</v>
      </c>
      <c r="C185" s="8">
        <v>2.2218932016081925</v>
      </c>
      <c r="D185" s="37">
        <v>0.60416270295390029</v>
      </c>
      <c r="E185" s="6">
        <v>8.6926588951611143E-3</v>
      </c>
      <c r="F185" s="11">
        <v>0.9577</v>
      </c>
      <c r="G185" s="8">
        <v>7025056</v>
      </c>
      <c r="H185" s="38">
        <v>-31.306340574679243</v>
      </c>
      <c r="I185" s="37">
        <v>92674.863236759993</v>
      </c>
      <c r="J185" s="11">
        <v>2.6461000000000001</v>
      </c>
      <c r="K185" s="11">
        <v>57.507300000000001</v>
      </c>
      <c r="L185" s="38">
        <v>1</v>
      </c>
      <c r="M185" s="8">
        <v>181.86770000000001</v>
      </c>
      <c r="N185" s="8">
        <v>11.389587359821137</v>
      </c>
      <c r="O185" s="8">
        <v>1.1099734439769974E-2</v>
      </c>
      <c r="P185" s="8">
        <v>1.0753076179835558E-2</v>
      </c>
      <c r="Q185" s="8">
        <v>1.8858461985321684</v>
      </c>
      <c r="R185" s="41">
        <v>1.0508726923663562E-2</v>
      </c>
      <c r="S185" s="33">
        <v>8.2520461084358843E-2</v>
      </c>
      <c r="T185" s="36">
        <v>55.3</v>
      </c>
      <c r="U185" s="34">
        <v>6.2295183333333337E-2</v>
      </c>
      <c r="V185">
        <v>1131.0008333333301</v>
      </c>
    </row>
    <row r="186" spans="1:22" x14ac:dyDescent="0.2">
      <c r="A186" s="35" t="s">
        <v>34</v>
      </c>
      <c r="B186" s="36">
        <v>2018</v>
      </c>
      <c r="C186" s="8">
        <v>2.6347708035388342</v>
      </c>
      <c r="D186" s="37">
        <v>0.83091701691442466</v>
      </c>
      <c r="E186" s="6">
        <v>7.7397448240395447E-3</v>
      </c>
      <c r="F186" s="11">
        <v>0.94699999999999995</v>
      </c>
      <c r="G186" s="8">
        <v>8254208</v>
      </c>
      <c r="H186" s="38">
        <v>17.49668614741292</v>
      </c>
      <c r="I186" s="37">
        <v>93256.400959639985</v>
      </c>
      <c r="J186" s="11">
        <v>2.6339999999999999</v>
      </c>
      <c r="K186" s="11">
        <v>56.8643</v>
      </c>
      <c r="L186" s="38">
        <v>1</v>
      </c>
      <c r="M186" s="8">
        <v>168.62450000000001</v>
      </c>
      <c r="N186" s="8">
        <v>11.393270743301887</v>
      </c>
      <c r="O186" s="8">
        <v>1.2741307175801896E-2</v>
      </c>
      <c r="P186" s="8">
        <v>1.1587967099791853E-2</v>
      </c>
      <c r="Q186" s="8">
        <v>1.7193795317457257</v>
      </c>
      <c r="R186" s="41">
        <v>1.0481885662260899E-2</v>
      </c>
      <c r="S186" s="33">
        <v>6.2161478999902813E-2</v>
      </c>
      <c r="T186" s="36">
        <v>82.1</v>
      </c>
      <c r="U186" s="34">
        <v>0.11812107500000001</v>
      </c>
      <c r="V186">
        <v>1100.16333333333</v>
      </c>
    </row>
    <row r="187" spans="1:22" x14ac:dyDescent="0.2">
      <c r="A187" s="35" t="s">
        <v>34</v>
      </c>
      <c r="B187" s="36">
        <v>2019</v>
      </c>
      <c r="C187" s="8">
        <v>2.78996778781588</v>
      </c>
      <c r="D187" s="37">
        <v>1.0716473133940558</v>
      </c>
      <c r="E187" s="6">
        <v>3.6393776965639568E-3</v>
      </c>
      <c r="F187" s="11">
        <v>0.9446</v>
      </c>
      <c r="G187" s="8">
        <v>8139902</v>
      </c>
      <c r="H187" s="38">
        <v>-1.3848209301243681</v>
      </c>
      <c r="I187" s="37">
        <v>73088.528825000001</v>
      </c>
      <c r="J187" s="11">
        <v>2.3532000000000002</v>
      </c>
      <c r="K187" s="11">
        <v>59.692900000000002</v>
      </c>
      <c r="L187" s="38">
        <v>1</v>
      </c>
      <c r="M187" s="8">
        <v>167.00899999999999</v>
      </c>
      <c r="N187" s="8">
        <v>11.413238932890666</v>
      </c>
      <c r="O187" s="8">
        <v>1.0275253164759149E-2</v>
      </c>
      <c r="P187" s="8">
        <v>1.10025533590074E-2</v>
      </c>
      <c r="Q187" s="8">
        <v>1.7995591765385186</v>
      </c>
      <c r="R187" s="41">
        <v>1.0387130991703625E-2</v>
      </c>
      <c r="S187" s="33">
        <v>-4.2567684038611962E-2</v>
      </c>
      <c r="T187" s="36">
        <v>82.1</v>
      </c>
      <c r="U187" s="34">
        <v>0.10839685</v>
      </c>
      <c r="V187">
        <v>1165.3575000000001</v>
      </c>
    </row>
    <row r="188" spans="1:22" x14ac:dyDescent="0.2">
      <c r="A188" s="35" t="s">
        <v>34</v>
      </c>
      <c r="B188" s="36">
        <v>2020</v>
      </c>
      <c r="C188" s="8">
        <v>2.4347030924308966</v>
      </c>
      <c r="D188" s="37">
        <v>-0.59087707845979243</v>
      </c>
      <c r="E188" s="6">
        <v>3.3113446493669416E-2</v>
      </c>
      <c r="F188" s="11">
        <v>0.93969999999999998</v>
      </c>
      <c r="G188" s="8">
        <v>5186374</v>
      </c>
      <c r="H188" s="38">
        <v>-36.284564605323261</v>
      </c>
      <c r="I188" s="37">
        <v>57046.981302920001</v>
      </c>
      <c r="J188" s="11">
        <v>2.2097000000000002</v>
      </c>
      <c r="K188" s="11">
        <v>64.125699999999995</v>
      </c>
      <c r="L188" s="38">
        <v>1</v>
      </c>
      <c r="M188" s="8">
        <v>188.4091</v>
      </c>
      <c r="N188" s="8">
        <v>11.560252666197705</v>
      </c>
      <c r="O188" s="8">
        <v>8.5937503603703471E-3</v>
      </c>
      <c r="P188" s="8">
        <v>1.012724167264463E-2</v>
      </c>
      <c r="Q188" s="8">
        <v>1.5803513122312238</v>
      </c>
      <c r="R188" s="41">
        <v>1.043292484853137E-2</v>
      </c>
      <c r="S188" s="33">
        <v>-4.305467025402558E-3</v>
      </c>
      <c r="T188" s="36">
        <v>56.9</v>
      </c>
      <c r="U188" s="34">
        <v>0.13288566666666665</v>
      </c>
      <c r="V188">
        <v>1180.26583333333</v>
      </c>
    </row>
    <row r="189" spans="1:22" x14ac:dyDescent="0.2">
      <c r="A189" s="35" t="s">
        <v>34</v>
      </c>
      <c r="B189" s="36">
        <v>2021</v>
      </c>
      <c r="C189" s="8">
        <v>3.1877418484583386</v>
      </c>
      <c r="D189" s="37">
        <v>-1.2461753032669562</v>
      </c>
      <c r="E189" s="6">
        <v>2.9935197408383817E-2</v>
      </c>
      <c r="F189" s="11">
        <v>0.94850000000000001</v>
      </c>
      <c r="G189" s="8">
        <v>6104469</v>
      </c>
      <c r="H189" s="38">
        <v>17.70205928072291</v>
      </c>
      <c r="I189" s="37">
        <v>37516.187501999993</v>
      </c>
      <c r="J189" s="11">
        <v>2.3601999999999999</v>
      </c>
      <c r="K189" s="11">
        <v>59.7879</v>
      </c>
      <c r="L189" s="38">
        <v>1</v>
      </c>
      <c r="M189" s="8">
        <v>207.88550000000001</v>
      </c>
      <c r="N189" s="8">
        <v>11.588080584744889</v>
      </c>
      <c r="O189" s="8">
        <v>8.1284635474407063E-3</v>
      </c>
      <c r="P189" s="8">
        <v>3.8570055448633594E-2</v>
      </c>
      <c r="Q189" s="8">
        <v>0.8803599635341004</v>
      </c>
      <c r="R189" s="41">
        <v>1.0486848655709041E-2</v>
      </c>
      <c r="S189" s="33">
        <v>0.10134512568818534</v>
      </c>
      <c r="T189" s="36">
        <v>56.4</v>
      </c>
      <c r="U189" s="34">
        <v>0.10445814166666667</v>
      </c>
      <c r="V189">
        <v>1143.95166666667</v>
      </c>
    </row>
    <row r="190" spans="1:22" x14ac:dyDescent="0.2">
      <c r="A190" s="35" t="s">
        <v>34</v>
      </c>
      <c r="B190" s="36">
        <v>2022</v>
      </c>
      <c r="C190" s="8">
        <v>3.004004392613512</v>
      </c>
      <c r="D190" s="37">
        <v>2.5956926085913454</v>
      </c>
      <c r="E190" s="6">
        <v>-8.8337627541094713E-3</v>
      </c>
      <c r="F190" s="11">
        <v>0.94320000000000004</v>
      </c>
      <c r="G190" s="8">
        <v>12245985</v>
      </c>
      <c r="H190" s="38">
        <v>100.6068832522534</v>
      </c>
      <c r="I190" s="37">
        <v>38062.573278670003</v>
      </c>
      <c r="J190" s="11">
        <v>2.4542000000000002</v>
      </c>
      <c r="K190" s="11">
        <v>57.323900000000002</v>
      </c>
      <c r="L190" s="38">
        <v>1</v>
      </c>
      <c r="M190" s="8">
        <v>186.12469999999999</v>
      </c>
      <c r="N190" s="8">
        <v>11.59938361454112</v>
      </c>
      <c r="O190" s="8">
        <v>9.8856619047843607E-3</v>
      </c>
      <c r="P190" s="8">
        <v>4.284238303530364E-2</v>
      </c>
      <c r="Q190" s="8">
        <v>1.6022976109894573</v>
      </c>
      <c r="R190" s="41">
        <v>1.0396378054216679E-2</v>
      </c>
      <c r="S190" s="33">
        <v>-8.0460454663042441E-2</v>
      </c>
      <c r="T190" s="36">
        <v>56.3</v>
      </c>
      <c r="U190" s="34">
        <v>0.180137675</v>
      </c>
      <c r="V190">
        <v>1291.4466666666699</v>
      </c>
    </row>
    <row r="191" spans="1:22" x14ac:dyDescent="0.2">
      <c r="A191" s="35"/>
      <c r="B191" s="36"/>
      <c r="C191" s="8"/>
      <c r="D191" s="37"/>
      <c r="E191" s="6"/>
      <c r="F191" s="11"/>
      <c r="G191" s="8"/>
      <c r="H191" s="38"/>
      <c r="I191" s="37"/>
      <c r="J191" s="11"/>
      <c r="K191" s="11"/>
      <c r="L191" s="38"/>
      <c r="M191" s="8"/>
      <c r="N191" s="8"/>
      <c r="O191" s="8"/>
      <c r="P191" s="8"/>
      <c r="Q191" s="8"/>
      <c r="R191" s="41"/>
      <c r="S191" s="33"/>
      <c r="T191" s="36"/>
      <c r="U191" s="34"/>
      <c r="V191"/>
    </row>
    <row r="192" spans="1:22" x14ac:dyDescent="0.2">
      <c r="A192" s="35" t="s">
        <v>28</v>
      </c>
      <c r="B192" s="36">
        <v>2014</v>
      </c>
      <c r="C192" s="8">
        <v>2.8871740676683175</v>
      </c>
      <c r="D192" s="37">
        <v>-2.9283303043837119</v>
      </c>
      <c r="E192" s="6">
        <v>4.2223519953608353E-2</v>
      </c>
      <c r="F192" s="11">
        <v>1.0259</v>
      </c>
      <c r="G192" s="8">
        <v>59847.74</v>
      </c>
      <c r="H192" s="38">
        <v>32.899555896643989</v>
      </c>
      <c r="I192" s="37">
        <v>27364.720813650001</v>
      </c>
      <c r="J192" s="11">
        <v>1.8275999999999999</v>
      </c>
      <c r="K192" s="11">
        <v>49.678100000000001</v>
      </c>
      <c r="L192" s="38">
        <v>1</v>
      </c>
      <c r="M192" s="8">
        <v>256.54000000000002</v>
      </c>
      <c r="N192" s="8">
        <v>10.687493645693586</v>
      </c>
      <c r="O192" s="8">
        <v>7.5617324189721268E-3</v>
      </c>
      <c r="P192" s="8">
        <v>8.460302649406783E-3</v>
      </c>
      <c r="Q192" s="8">
        <v>3.5274147238829734</v>
      </c>
      <c r="R192" s="41">
        <v>1.1244653735194364E-2</v>
      </c>
      <c r="S192" s="33">
        <v>-6.8982897117293038E-2</v>
      </c>
      <c r="T192" s="36">
        <v>71.099999999999994</v>
      </c>
      <c r="U192" s="34">
        <v>0.10778419166666668</v>
      </c>
      <c r="V192">
        <v>1.1093632928169199</v>
      </c>
    </row>
    <row r="193" spans="1:22" x14ac:dyDescent="0.2">
      <c r="A193" s="35" t="s">
        <v>28</v>
      </c>
      <c r="B193" s="36">
        <v>2015</v>
      </c>
      <c r="C193" s="8">
        <v>3.2720899847787055</v>
      </c>
      <c r="D193" s="37">
        <v>0.25957961699124582</v>
      </c>
      <c r="E193" s="6">
        <v>1.4921479766029821E-2</v>
      </c>
      <c r="F193" s="11">
        <v>1.0255000000000001</v>
      </c>
      <c r="G193" s="8">
        <v>48262.09</v>
      </c>
      <c r="H193" s="38">
        <v>-19.358542193907407</v>
      </c>
      <c r="I193" s="37">
        <v>16873.229409119998</v>
      </c>
      <c r="J193" s="11">
        <v>1.9610000000000001</v>
      </c>
      <c r="K193" s="11">
        <v>50.4163</v>
      </c>
      <c r="L193" s="38">
        <v>1</v>
      </c>
      <c r="M193" s="8">
        <v>258.6336</v>
      </c>
      <c r="N193" s="8">
        <v>10.439513392722791</v>
      </c>
      <c r="O193" s="8">
        <v>6.6381940207443559E-3</v>
      </c>
      <c r="P193" s="8">
        <v>1.1508303199803843E-2</v>
      </c>
      <c r="Q193" s="8">
        <v>2.8722945811570395</v>
      </c>
      <c r="R193" s="41">
        <v>1.1797479319363971E-2</v>
      </c>
      <c r="S193" s="33">
        <v>-7.9729061071476787E-2</v>
      </c>
      <c r="T193" s="36">
        <v>70.900000000000006</v>
      </c>
      <c r="U193" s="34">
        <v>0.17763920833333333</v>
      </c>
      <c r="V193">
        <v>1.33109026245502</v>
      </c>
    </row>
    <row r="194" spans="1:22" x14ac:dyDescent="0.2">
      <c r="A194" s="35" t="s">
        <v>28</v>
      </c>
      <c r="B194" s="36">
        <v>2016</v>
      </c>
      <c r="C194" s="8">
        <v>3.3249592179967729</v>
      </c>
      <c r="D194" s="37">
        <v>-1.273594938024406</v>
      </c>
      <c r="E194" s="6">
        <v>3.2458642162860721E-2</v>
      </c>
      <c r="F194" s="11">
        <v>1.0084</v>
      </c>
      <c r="G194" s="8">
        <v>49010.6</v>
      </c>
      <c r="H194" s="38">
        <v>1.550927446366293</v>
      </c>
      <c r="I194" s="37">
        <v>17448.072141059998</v>
      </c>
      <c r="J194" s="11">
        <v>1.9392</v>
      </c>
      <c r="K194" s="11">
        <v>49.279299999999999</v>
      </c>
      <c r="L194" s="38">
        <v>1</v>
      </c>
      <c r="M194" s="8">
        <v>267.82830000000001</v>
      </c>
      <c r="N194" s="8">
        <v>10.551808411636816</v>
      </c>
      <c r="O194" s="8">
        <v>5.9325176121616608E-3</v>
      </c>
      <c r="P194" s="8">
        <v>1.3823472189366312E-2</v>
      </c>
      <c r="Q194" s="8">
        <v>2.4616934673449848</v>
      </c>
      <c r="R194" s="41">
        <v>1.1751638757670995E-2</v>
      </c>
      <c r="S194" s="33">
        <v>-0.10663373506009644</v>
      </c>
      <c r="T194" s="36">
        <v>69.900000000000006</v>
      </c>
      <c r="U194" s="34">
        <v>0.26206356666666669</v>
      </c>
      <c r="V194">
        <v>1.3452139760194699</v>
      </c>
    </row>
    <row r="195" spans="1:22" x14ac:dyDescent="0.2">
      <c r="A195" s="35" t="s">
        <v>28</v>
      </c>
      <c r="B195" s="36">
        <v>2017</v>
      </c>
      <c r="C195" s="8">
        <v>3.3509324230084627</v>
      </c>
      <c r="D195" s="37">
        <v>6.5449798442257059</v>
      </c>
      <c r="E195" s="6">
        <v>-5.3314201361749587E-2</v>
      </c>
      <c r="F195" s="11">
        <v>1.022</v>
      </c>
      <c r="G195" s="8">
        <v>52154.11</v>
      </c>
      <c r="H195" s="38">
        <v>6.4139390254353179</v>
      </c>
      <c r="I195" s="37">
        <v>15222.773674079997</v>
      </c>
      <c r="J195" s="11">
        <v>1.8787</v>
      </c>
      <c r="K195" s="11">
        <v>49.407499999999999</v>
      </c>
      <c r="L195" s="38">
        <v>1</v>
      </c>
      <c r="M195" s="8">
        <v>261.69479999999999</v>
      </c>
      <c r="N195" s="8">
        <v>10.62021605526118</v>
      </c>
      <c r="O195" s="8">
        <v>5.1806376520528562E-3</v>
      </c>
      <c r="P195" s="8">
        <v>1.0411563844627589E-2</v>
      </c>
      <c r="Q195" s="8">
        <v>2.2090727239878287</v>
      </c>
      <c r="R195" s="41">
        <v>1.1788582246716512E-2</v>
      </c>
      <c r="S195" s="33">
        <v>9.9376978830331336E-2</v>
      </c>
      <c r="T195" s="36">
        <v>69.7</v>
      </c>
      <c r="U195" s="34">
        <v>0.38788858333333326</v>
      </c>
      <c r="V195">
        <v>1.3047580767159199</v>
      </c>
    </row>
    <row r="196" spans="1:22" x14ac:dyDescent="0.2">
      <c r="A196" s="35" t="s">
        <v>28</v>
      </c>
      <c r="B196" s="36">
        <v>2018</v>
      </c>
      <c r="C196" s="8">
        <v>3.1519107601879366</v>
      </c>
      <c r="D196" s="37">
        <v>1.6407135094500558</v>
      </c>
      <c r="E196" s="6">
        <v>-2.6273529298367483E-3</v>
      </c>
      <c r="F196" s="11">
        <v>1.0133000000000001</v>
      </c>
      <c r="G196" s="8">
        <v>36282.19</v>
      </c>
      <c r="H196" s="38">
        <v>-30.43273099665587</v>
      </c>
      <c r="I196" s="37">
        <v>11788.5543696</v>
      </c>
      <c r="J196" s="11">
        <v>1.9807999999999999</v>
      </c>
      <c r="K196" s="11">
        <v>52.150500000000001</v>
      </c>
      <c r="L196" s="38">
        <v>1</v>
      </c>
      <c r="M196" s="8">
        <v>269.50209999999998</v>
      </c>
      <c r="N196" s="8">
        <v>10.54735850831832</v>
      </c>
      <c r="O196" s="8">
        <v>4.4391439740276949E-3</v>
      </c>
      <c r="P196" s="8">
        <v>1.5862708364159251E-2</v>
      </c>
      <c r="Q196" s="8">
        <v>2.2393510576716515</v>
      </c>
      <c r="R196" s="41">
        <v>1.1910192574248945E-2</v>
      </c>
      <c r="S196" s="33">
        <v>7.6744456043470993E-2</v>
      </c>
      <c r="T196" s="36">
        <v>69.900000000000006</v>
      </c>
      <c r="U196" s="34">
        <v>0.15196149166666664</v>
      </c>
      <c r="V196">
        <v>1.33841214646451</v>
      </c>
    </row>
    <row r="197" spans="1:22" x14ac:dyDescent="0.2">
      <c r="A197" s="35" t="s">
        <v>28</v>
      </c>
      <c r="B197" s="36">
        <v>2019</v>
      </c>
      <c r="C197" s="8">
        <v>2.7257443397346393</v>
      </c>
      <c r="D197" s="37">
        <v>0.78186479323814806</v>
      </c>
      <c r="E197" s="6">
        <v>6.342277577335971E-3</v>
      </c>
      <c r="F197" s="11">
        <v>0.99739999999999995</v>
      </c>
      <c r="G197" s="8">
        <v>30560.87</v>
      </c>
      <c r="H197" s="38">
        <v>-15.768948897516943</v>
      </c>
      <c r="I197" s="37">
        <v>13250.856103170001</v>
      </c>
      <c r="J197" s="11">
        <v>1.9280999999999999</v>
      </c>
      <c r="K197" s="11">
        <v>53.558399999999999</v>
      </c>
      <c r="L197" s="38">
        <v>1</v>
      </c>
      <c r="M197" s="8">
        <v>317.98390000000001</v>
      </c>
      <c r="N197" s="8">
        <v>10.529428707997843</v>
      </c>
      <c r="O197" s="8">
        <v>5.0415440540072702E-3</v>
      </c>
      <c r="P197" s="8">
        <v>1.2342212361726213E-2</v>
      </c>
      <c r="Q197" s="8">
        <v>2.5218394953924808</v>
      </c>
      <c r="R197" s="41">
        <v>1.2055187631474814E-2</v>
      </c>
      <c r="S197" s="33">
        <v>-2.5238976941071883E-2</v>
      </c>
      <c r="T197" s="36">
        <v>69.400000000000006</v>
      </c>
      <c r="U197" s="34">
        <v>0.21756721666666667</v>
      </c>
      <c r="V197">
        <v>1.4385065442138201</v>
      </c>
    </row>
    <row r="198" spans="1:22" x14ac:dyDescent="0.2">
      <c r="A198" s="35" t="s">
        <v>28</v>
      </c>
      <c r="B198" s="36">
        <v>2020</v>
      </c>
      <c r="C198" s="8">
        <v>1.2309341509845748</v>
      </c>
      <c r="D198" s="37">
        <v>-0.60035686281801992</v>
      </c>
      <c r="E198" s="6">
        <v>3.5659388180446026E-2</v>
      </c>
      <c r="F198" s="11">
        <v>0.97450000000000003</v>
      </c>
      <c r="G198" s="8">
        <v>25282.57</v>
      </c>
      <c r="H198" s="38">
        <v>-17.271432390504586</v>
      </c>
      <c r="I198" s="37">
        <v>14411.373498000001</v>
      </c>
      <c r="J198" s="11">
        <v>1.9048</v>
      </c>
      <c r="K198" s="11">
        <v>68.363600000000005</v>
      </c>
      <c r="L198" s="38">
        <v>1</v>
      </c>
      <c r="M198" s="8">
        <v>274.9941</v>
      </c>
      <c r="N198" s="8">
        <v>10.644341167385214</v>
      </c>
      <c r="O198" s="8">
        <v>7.843887507174286E-3</v>
      </c>
      <c r="P198" s="8">
        <v>1.4682569987473098E-2</v>
      </c>
      <c r="Q198" s="8">
        <v>4.6820815334010657</v>
      </c>
      <c r="R198" s="41">
        <v>1.1881639777181527E-2</v>
      </c>
      <c r="S198" s="33">
        <v>-4.6884808953549767E-2</v>
      </c>
      <c r="T198" s="36">
        <v>68.3</v>
      </c>
      <c r="U198" s="34">
        <v>0.20738910833333335</v>
      </c>
      <c r="V198">
        <v>1.4530851184701601</v>
      </c>
    </row>
    <row r="199" spans="1:22" x14ac:dyDescent="0.2">
      <c r="A199" s="35" t="s">
        <v>28</v>
      </c>
      <c r="B199" s="36">
        <v>2021</v>
      </c>
      <c r="C199" s="8">
        <v>2.4936950511851945</v>
      </c>
      <c r="D199" s="37">
        <v>3.5643564677768653</v>
      </c>
      <c r="E199" s="6">
        <v>-1.8308421522687631E-2</v>
      </c>
      <c r="F199" s="11">
        <v>0.99839999999999995</v>
      </c>
      <c r="G199" s="8">
        <v>26672.67</v>
      </c>
      <c r="H199" s="38">
        <v>5.4982543309481535</v>
      </c>
      <c r="I199" s="37">
        <v>17769.009860819999</v>
      </c>
      <c r="J199" s="11">
        <v>1.3669</v>
      </c>
      <c r="K199" s="11">
        <v>58.738999999999997</v>
      </c>
      <c r="L199" s="38">
        <v>1</v>
      </c>
      <c r="M199" s="8">
        <v>295.44940000000003</v>
      </c>
      <c r="N199" s="8">
        <v>11.110222332593041</v>
      </c>
      <c r="O199" s="8">
        <v>4.1057189628769071E-3</v>
      </c>
      <c r="P199" s="8">
        <v>1.5025941349085319E-2</v>
      </c>
      <c r="Q199" s="8">
        <v>1.0408923717130318</v>
      </c>
      <c r="R199" s="41">
        <v>1.1548885689202055E-2</v>
      </c>
      <c r="S199" s="33">
        <v>0.17013409527144688</v>
      </c>
      <c r="T199" s="36">
        <v>69.400000000000006</v>
      </c>
      <c r="U199" s="34">
        <v>0.22799430000000001</v>
      </c>
      <c r="V199">
        <v>1.3312242595708099</v>
      </c>
    </row>
    <row r="200" spans="1:22" x14ac:dyDescent="0.2">
      <c r="A200" s="35" t="s">
        <v>28</v>
      </c>
      <c r="B200" s="36">
        <v>2022</v>
      </c>
      <c r="C200" s="8">
        <v>2.1787875353916557</v>
      </c>
      <c r="D200" s="37">
        <v>1.088598481099434</v>
      </c>
      <c r="E200" s="6">
        <v>8.9270054068182111E-3</v>
      </c>
      <c r="F200" s="11">
        <v>0.97870000000000001</v>
      </c>
      <c r="G200" s="8">
        <v>52498.9</v>
      </c>
      <c r="H200" s="38">
        <v>96.826564419685042</v>
      </c>
      <c r="I200" s="37">
        <v>10487.404013679999</v>
      </c>
      <c r="J200" s="11">
        <v>1.7270000000000001</v>
      </c>
      <c r="K200" s="11">
        <v>63.811799999999998</v>
      </c>
      <c r="L200" s="38">
        <v>1</v>
      </c>
      <c r="M200" s="8">
        <v>315.05700000000002</v>
      </c>
      <c r="N200" s="8">
        <v>11.134594174602016</v>
      </c>
      <c r="O200" s="8">
        <v>3.63184202102775E-3</v>
      </c>
      <c r="P200" s="8">
        <v>1.2199937165871066E-2</v>
      </c>
      <c r="Q200" s="8">
        <v>1.291181404498783</v>
      </c>
      <c r="R200" s="41">
        <v>1.1491434529898514E-2</v>
      </c>
      <c r="S200" s="33">
        <v>7.9033467101142882E-2</v>
      </c>
      <c r="T200" s="36">
        <v>69.099999999999994</v>
      </c>
      <c r="U200" s="34">
        <v>0.16926596666666663</v>
      </c>
      <c r="V200">
        <v>1.4416644589652201</v>
      </c>
    </row>
    <row r="201" spans="1:22" x14ac:dyDescent="0.2">
      <c r="A201" s="35"/>
      <c r="B201" s="36"/>
      <c r="C201" s="8"/>
      <c r="D201" s="37"/>
      <c r="E201" s="6"/>
      <c r="F201" s="11"/>
      <c r="G201" s="8"/>
      <c r="H201" s="38"/>
      <c r="I201" s="37"/>
      <c r="J201" s="11"/>
      <c r="K201" s="11"/>
      <c r="L201" s="38"/>
      <c r="M201" s="8"/>
      <c r="N201" s="8"/>
      <c r="O201" s="8"/>
      <c r="P201" s="8"/>
      <c r="Q201" s="8"/>
      <c r="R201" s="41"/>
      <c r="S201" s="33"/>
      <c r="T201" s="36"/>
      <c r="U201" s="34"/>
      <c r="V201"/>
    </row>
    <row r="202" spans="1:22" x14ac:dyDescent="0.2">
      <c r="A202" s="35" t="s">
        <v>29</v>
      </c>
      <c r="B202" s="36">
        <v>2014</v>
      </c>
      <c r="C202" s="8">
        <v>3.22</v>
      </c>
      <c r="D202" s="37">
        <v>16.178501527856604</v>
      </c>
      <c r="E202" s="6">
        <v>-0.11925207471092693</v>
      </c>
      <c r="F202" s="11">
        <v>1.0358000000000001</v>
      </c>
      <c r="G202" s="8">
        <v>5547755.7199999997</v>
      </c>
      <c r="H202" s="38">
        <v>19.814709838746211</v>
      </c>
      <c r="I202" s="37">
        <v>343077.7299341</v>
      </c>
      <c r="J202" s="11">
        <v>1.8875</v>
      </c>
      <c r="K202" s="11">
        <v>53.4499</v>
      </c>
      <c r="L202" s="38">
        <v>1</v>
      </c>
      <c r="M202" s="8">
        <v>400.53230000000002</v>
      </c>
      <c r="N202" s="8">
        <v>13.556517542385974</v>
      </c>
      <c r="O202" s="8">
        <v>5.9868167147007273E-3</v>
      </c>
      <c r="P202" s="8">
        <v>12.707181835549056</v>
      </c>
      <c r="Q202" s="8">
        <v>2.1850424009667275</v>
      </c>
      <c r="R202" s="41">
        <v>1.1512779453566198E-2</v>
      </c>
      <c r="S202" s="33">
        <v>-6.8982897117293038E-2</v>
      </c>
      <c r="T202" s="36">
        <v>71.099999999999994</v>
      </c>
      <c r="U202" s="34">
        <v>0.10778419166666668</v>
      </c>
      <c r="V202">
        <v>1.1093632928169199</v>
      </c>
    </row>
    <row r="203" spans="1:22" x14ac:dyDescent="0.2">
      <c r="A203" s="35" t="s">
        <v>29</v>
      </c>
      <c r="B203" s="36">
        <v>2015</v>
      </c>
      <c r="C203" s="8">
        <v>3.54</v>
      </c>
      <c r="D203" s="37">
        <v>4.3756374899476125</v>
      </c>
      <c r="E203" s="6">
        <v>8.8991025137104135E-3</v>
      </c>
      <c r="F203" s="11">
        <v>1.0258</v>
      </c>
      <c r="G203" s="8">
        <v>5230591.8</v>
      </c>
      <c r="H203" s="38">
        <v>-5.7169770265227164</v>
      </c>
      <c r="I203" s="37">
        <v>139601.63173152</v>
      </c>
      <c r="J203" s="11">
        <v>1.6686000000000001</v>
      </c>
      <c r="K203" s="11">
        <v>43.583799999999997</v>
      </c>
      <c r="L203" s="38">
        <v>1</v>
      </c>
      <c r="M203" s="8">
        <v>407.64150000000001</v>
      </c>
      <c r="N203" s="8">
        <v>13.414844126966226</v>
      </c>
      <c r="O203" s="8">
        <v>6.5634416301202292E-3</v>
      </c>
      <c r="P203" s="8">
        <v>2.0585977143354047E-3</v>
      </c>
      <c r="Q203" s="8">
        <v>1.6694692546813137</v>
      </c>
      <c r="R203" s="41">
        <v>1.1814647595202968E-2</v>
      </c>
      <c r="S203" s="33">
        <v>-7.9729061071476787E-2</v>
      </c>
      <c r="T203" s="36">
        <v>70.900000000000006</v>
      </c>
      <c r="U203" s="34">
        <v>0.17763920833333333</v>
      </c>
      <c r="V203">
        <v>1.33109026245502</v>
      </c>
    </row>
    <row r="204" spans="1:22" x14ac:dyDescent="0.2">
      <c r="A204" s="35" t="s">
        <v>29</v>
      </c>
      <c r="B204" s="36">
        <v>2016</v>
      </c>
      <c r="C204" s="8">
        <v>0.51</v>
      </c>
      <c r="D204" s="37">
        <v>1.4435767109160333</v>
      </c>
      <c r="E204" s="6">
        <v>7.6234080403465541E-3</v>
      </c>
      <c r="F204" s="11">
        <v>1.0331999999999999</v>
      </c>
      <c r="G204" s="8">
        <v>5389173.7599999998</v>
      </c>
      <c r="H204" s="38">
        <v>3.0318167821851434</v>
      </c>
      <c r="I204" s="37">
        <v>202484.6153946</v>
      </c>
      <c r="J204" s="11">
        <v>1.8782000000000001</v>
      </c>
      <c r="K204" s="11">
        <v>45.123899999999999</v>
      </c>
      <c r="L204" s="38">
        <v>1</v>
      </c>
      <c r="M204" s="8">
        <v>408.15940000000001</v>
      </c>
      <c r="N204" s="8">
        <v>13.296640788302986</v>
      </c>
      <c r="O204" s="8">
        <v>6.0682946221346607E-3</v>
      </c>
      <c r="P204" s="8">
        <v>3.1981397734243362E-2</v>
      </c>
      <c r="Q204" s="8">
        <v>1.6372243254334107</v>
      </c>
      <c r="R204" s="41">
        <v>1.1979613646167314E-2</v>
      </c>
      <c r="S204" s="33">
        <v>-0.10663373506009644</v>
      </c>
      <c r="T204" s="36">
        <v>69.900000000000006</v>
      </c>
      <c r="U204" s="34">
        <v>0.26206356666666669</v>
      </c>
      <c r="V204">
        <v>1.3452139760194699</v>
      </c>
    </row>
    <row r="205" spans="1:22" x14ac:dyDescent="0.2">
      <c r="A205" s="35" t="s">
        <v>29</v>
      </c>
      <c r="B205" s="36">
        <v>2017</v>
      </c>
      <c r="C205" s="8">
        <v>3.5</v>
      </c>
      <c r="D205" s="37">
        <v>5.988720555528209</v>
      </c>
      <c r="E205" s="6">
        <v>-1.4086688215587569E-2</v>
      </c>
      <c r="F205" s="11">
        <v>1.0455000000000001</v>
      </c>
      <c r="G205" s="8">
        <v>223248.63</v>
      </c>
      <c r="H205" s="38">
        <v>-95.857460903246135</v>
      </c>
      <c r="I205" s="37">
        <v>135184.07582775</v>
      </c>
      <c r="J205" s="11">
        <v>1.8571</v>
      </c>
      <c r="K205" s="11">
        <v>43.908900000000003</v>
      </c>
      <c r="L205" s="38">
        <v>1</v>
      </c>
      <c r="M205" s="8">
        <v>411.13670000000002</v>
      </c>
      <c r="N205" s="8">
        <v>13.334447004614404</v>
      </c>
      <c r="O205" s="8">
        <v>5.9335712405838605E-3</v>
      </c>
      <c r="P205" s="8">
        <v>4.6678860223451427E-2</v>
      </c>
      <c r="Q205" s="8">
        <v>1.6419582214351056</v>
      </c>
      <c r="R205" s="41">
        <v>1.1880071462322001E-2</v>
      </c>
      <c r="S205" s="33">
        <v>9.9376978830331336E-2</v>
      </c>
      <c r="T205" s="36">
        <v>69.7</v>
      </c>
      <c r="U205" s="34">
        <v>0.38788858333333326</v>
      </c>
      <c r="V205">
        <v>1.3047580767159199</v>
      </c>
    </row>
    <row r="206" spans="1:22" x14ac:dyDescent="0.2">
      <c r="A206" s="35" t="s">
        <v>29</v>
      </c>
      <c r="B206" s="36">
        <v>2018</v>
      </c>
      <c r="C206" s="8">
        <v>3.6</v>
      </c>
      <c r="D206" s="37">
        <v>4.4188080514531372</v>
      </c>
      <c r="E206" s="6">
        <v>2.9458675574959734E-3</v>
      </c>
      <c r="F206" s="11">
        <v>1.0323</v>
      </c>
      <c r="G206" s="8">
        <v>406298.72</v>
      </c>
      <c r="H206" s="38">
        <v>81.993824553369024</v>
      </c>
      <c r="I206" s="37">
        <v>110049.98317099999</v>
      </c>
      <c r="J206" s="11">
        <v>1.8636999999999999</v>
      </c>
      <c r="K206" s="11">
        <v>48.076700000000002</v>
      </c>
      <c r="L206" s="38">
        <v>1</v>
      </c>
      <c r="M206" s="8">
        <v>450.79109999999997</v>
      </c>
      <c r="N206" s="8">
        <v>13.276816842815977</v>
      </c>
      <c r="O206" s="8">
        <v>6.1470461632143116E-3</v>
      </c>
      <c r="P206" s="8">
        <v>4.5055612887241345E-2</v>
      </c>
      <c r="Q206" s="8">
        <v>1.7902380904276607</v>
      </c>
      <c r="R206" s="41">
        <v>1.2697149637756909E-2</v>
      </c>
      <c r="S206" s="33">
        <v>7.6744456043470993E-2</v>
      </c>
      <c r="T206" s="36">
        <v>69.900000000000006</v>
      </c>
      <c r="U206" s="34">
        <v>0.15196149166666664</v>
      </c>
      <c r="V206">
        <v>1.33841214646451</v>
      </c>
    </row>
    <row r="207" spans="1:22" x14ac:dyDescent="0.2">
      <c r="A207" s="35" t="s">
        <v>29</v>
      </c>
      <c r="B207" s="36">
        <v>2019</v>
      </c>
      <c r="C207" s="8">
        <v>3.06</v>
      </c>
      <c r="D207" s="37">
        <v>4.5768715366792616</v>
      </c>
      <c r="E207" s="6">
        <v>-3.3202527303657337E-3</v>
      </c>
      <c r="F207" s="11">
        <v>1.0375000000000001</v>
      </c>
      <c r="G207" s="8">
        <v>431610.53</v>
      </c>
      <c r="H207" s="38">
        <v>6.22985226239454</v>
      </c>
      <c r="I207" s="37">
        <v>132620.3118464</v>
      </c>
      <c r="J207" s="11">
        <v>1.7897000000000001</v>
      </c>
      <c r="K207" s="11">
        <v>45.2256</v>
      </c>
      <c r="L207" s="38">
        <v>1</v>
      </c>
      <c r="M207" s="8">
        <v>435.5514</v>
      </c>
      <c r="N207" s="8">
        <v>13.256263433664062</v>
      </c>
      <c r="O207" s="8">
        <v>6.5917461197432933E-3</v>
      </c>
      <c r="P207" s="8">
        <v>5.2149495832962314E-2</v>
      </c>
      <c r="Q207" s="8">
        <v>1.8740563173143061</v>
      </c>
      <c r="R207" s="41">
        <v>1.2753422437073348E-2</v>
      </c>
      <c r="S207" s="33">
        <v>-2.5238976941071883E-2</v>
      </c>
      <c r="T207" s="36">
        <v>69.400000000000006</v>
      </c>
      <c r="U207" s="34">
        <v>0.21756721666666667</v>
      </c>
      <c r="V207">
        <v>1.4385065442138201</v>
      </c>
    </row>
    <row r="208" spans="1:22" x14ac:dyDescent="0.2">
      <c r="A208" s="35" t="s">
        <v>29</v>
      </c>
      <c r="B208" s="36">
        <v>2020</v>
      </c>
      <c r="C208" s="8">
        <v>1.75</v>
      </c>
      <c r="D208" s="37">
        <v>2.7243072550434495</v>
      </c>
      <c r="E208" s="6">
        <v>2.1145614167957138E-2</v>
      </c>
      <c r="F208" s="11">
        <v>0.99880000000000002</v>
      </c>
      <c r="G208" s="8">
        <v>291071.89</v>
      </c>
      <c r="H208" s="38">
        <v>-32.561448396543987</v>
      </c>
      <c r="I208" s="37">
        <v>132236.8484472</v>
      </c>
      <c r="J208" s="11">
        <v>1.7799</v>
      </c>
      <c r="K208" s="11">
        <v>52.0916</v>
      </c>
      <c r="L208" s="38">
        <v>1</v>
      </c>
      <c r="M208" s="8">
        <v>370.24950000000001</v>
      </c>
      <c r="N208" s="8">
        <v>13.3397524216566</v>
      </c>
      <c r="O208" s="8">
        <v>1.0214173078491611E-2</v>
      </c>
      <c r="P208" s="8">
        <v>6.7851571066309582E-2</v>
      </c>
      <c r="Q208" s="8">
        <v>1.7884950376859692</v>
      </c>
      <c r="R208" s="41">
        <v>1.1714387683020643E-2</v>
      </c>
      <c r="S208" s="33">
        <v>-4.6884808953549767E-2</v>
      </c>
      <c r="T208" s="36">
        <v>68.3</v>
      </c>
      <c r="U208" s="34">
        <v>0.20738910833333335</v>
      </c>
      <c r="V208">
        <v>1.4530851184701601</v>
      </c>
    </row>
    <row r="209" spans="1:22" x14ac:dyDescent="0.2">
      <c r="A209" s="35" t="s">
        <v>29</v>
      </c>
      <c r="B209" s="36">
        <v>2021</v>
      </c>
      <c r="C209" s="8">
        <v>3.68</v>
      </c>
      <c r="D209" s="37">
        <v>-0.4712316972471009</v>
      </c>
      <c r="E209" s="6">
        <v>5.4187561103374006E-2</v>
      </c>
      <c r="F209" s="11">
        <v>1.0306999999999999</v>
      </c>
      <c r="G209" s="8">
        <v>349573.39</v>
      </c>
      <c r="H209" s="38">
        <v>20.098642984727931</v>
      </c>
      <c r="I209" s="37">
        <v>90433.757271359995</v>
      </c>
      <c r="J209" s="11">
        <v>1.7149000000000001</v>
      </c>
      <c r="K209" s="11">
        <v>45.055599999999998</v>
      </c>
      <c r="L209" s="38">
        <v>1</v>
      </c>
      <c r="M209" s="8">
        <v>397.80340000000001</v>
      </c>
      <c r="N209" s="8">
        <v>13.411894816323271</v>
      </c>
      <c r="O209" s="8">
        <v>8.256070710667111E-3</v>
      </c>
      <c r="P209" s="8">
        <v>3.2974960788723119E-2</v>
      </c>
      <c r="Q209" s="8">
        <v>0.46768857544882969</v>
      </c>
      <c r="R209" s="41">
        <v>1.148274240779956E-2</v>
      </c>
      <c r="S209" s="33">
        <v>0.17013409527144688</v>
      </c>
      <c r="T209" s="36">
        <v>69.400000000000006</v>
      </c>
      <c r="U209" s="34">
        <v>0.22799430000000001</v>
      </c>
      <c r="V209">
        <v>1.3312242595708099</v>
      </c>
    </row>
    <row r="210" spans="1:22" x14ac:dyDescent="0.2">
      <c r="A210" s="35" t="s">
        <v>29</v>
      </c>
      <c r="B210" s="36">
        <v>2022</v>
      </c>
      <c r="C210" s="8">
        <v>3.56</v>
      </c>
      <c r="D210" s="37">
        <v>4.6388745028408289</v>
      </c>
      <c r="E210" s="6">
        <v>5.8416318900711417E-3</v>
      </c>
      <c r="F210" s="11">
        <v>1.03</v>
      </c>
      <c r="G210" s="8">
        <v>423934.84</v>
      </c>
      <c r="H210" s="38">
        <v>21.272056777548201</v>
      </c>
      <c r="I210" s="37">
        <v>66148.486755000005</v>
      </c>
      <c r="J210" s="11">
        <v>1.6515</v>
      </c>
      <c r="K210" s="11">
        <v>44.552500000000002</v>
      </c>
      <c r="L210" s="38">
        <v>1</v>
      </c>
      <c r="M210" s="8">
        <v>456.64389999999997</v>
      </c>
      <c r="N210" s="8">
        <v>13.42756019429606</v>
      </c>
      <c r="O210" s="8">
        <v>7.3757458168609309E-3</v>
      </c>
      <c r="P210" s="8">
        <v>5.1982765119567696E-2</v>
      </c>
      <c r="Q210" s="8">
        <v>0.77360427396223641</v>
      </c>
      <c r="R210" s="41">
        <v>1.1141835355941132E-2</v>
      </c>
      <c r="S210" s="33">
        <v>7.9033467101142882E-2</v>
      </c>
      <c r="T210" s="36">
        <v>69.099999999999994</v>
      </c>
      <c r="U210" s="34">
        <v>0.16926596666666663</v>
      </c>
      <c r="V210">
        <v>1.4416644589652201</v>
      </c>
    </row>
    <row r="211" spans="1:22" x14ac:dyDescent="0.2">
      <c r="A211" s="35"/>
      <c r="B211" s="36"/>
      <c r="C211" s="8"/>
      <c r="D211" s="37"/>
      <c r="E211" s="6"/>
      <c r="F211" s="11"/>
      <c r="G211" s="8"/>
      <c r="H211" s="38"/>
      <c r="I211" s="37"/>
      <c r="J211" s="11"/>
      <c r="K211" s="11"/>
      <c r="L211" s="38"/>
      <c r="M211" s="8"/>
      <c r="N211" s="8"/>
      <c r="O211" s="8"/>
      <c r="P211" s="8"/>
      <c r="Q211" s="8"/>
      <c r="R211" s="41"/>
      <c r="S211" s="33"/>
      <c r="T211" s="36"/>
      <c r="U211" s="34"/>
      <c r="V211"/>
    </row>
    <row r="212" spans="1:22" x14ac:dyDescent="0.2">
      <c r="A212" s="35" t="s">
        <v>30</v>
      </c>
      <c r="B212" s="36">
        <v>2014</v>
      </c>
      <c r="C212" s="8">
        <v>4.5255570290838403</v>
      </c>
      <c r="D212" s="37">
        <v>4.4264377088382556</v>
      </c>
      <c r="E212" s="6">
        <v>4.459992724362781</v>
      </c>
      <c r="F212" s="11">
        <v>1.0663</v>
      </c>
      <c r="G212" s="8">
        <v>3111750.71</v>
      </c>
      <c r="H212" s="38">
        <v>23.162253169226176</v>
      </c>
      <c r="I212" s="37">
        <v>177348.80603667998</v>
      </c>
      <c r="J212" s="11">
        <v>2.0935999999999999</v>
      </c>
      <c r="K212" s="11">
        <v>42.87</v>
      </c>
      <c r="L212" s="38">
        <v>1</v>
      </c>
      <c r="M212" s="8">
        <v>407.36360000000002</v>
      </c>
      <c r="N212" s="8">
        <v>13.420334940415845</v>
      </c>
      <c r="O212" s="8">
        <v>5.4377257864394457E-3</v>
      </c>
      <c r="P212" s="8">
        <v>3.038414861888334E-2</v>
      </c>
      <c r="Q212" s="8">
        <v>1.7417132257091541</v>
      </c>
      <c r="R212" s="41">
        <v>1.266251185583497E-2</v>
      </c>
      <c r="S212" s="33">
        <v>-6.8982897117293038E-2</v>
      </c>
      <c r="T212" s="36">
        <v>71.099999999999994</v>
      </c>
      <c r="U212" s="34">
        <v>0.10778419166666668</v>
      </c>
      <c r="V212">
        <v>1.1093632928169199</v>
      </c>
    </row>
    <row r="213" spans="1:22" x14ac:dyDescent="0.2">
      <c r="A213" s="35" t="s">
        <v>30</v>
      </c>
      <c r="B213" s="36">
        <v>2015</v>
      </c>
      <c r="C213" s="8">
        <v>4.4601485710885651</v>
      </c>
      <c r="D213" s="37">
        <v>1.3165269454281716</v>
      </c>
      <c r="E213" s="6">
        <v>1.3121280558975725</v>
      </c>
      <c r="F213" s="11">
        <v>1.0510999999999999</v>
      </c>
      <c r="G213" s="8">
        <v>2756007</v>
      </c>
      <c r="H213" s="38">
        <v>-11.432268942906418</v>
      </c>
      <c r="I213" s="37">
        <v>111707.62342824</v>
      </c>
      <c r="J213" s="11">
        <v>2.0880999999999998</v>
      </c>
      <c r="K213" s="11">
        <v>43.781500000000001</v>
      </c>
      <c r="L213" s="38">
        <v>1</v>
      </c>
      <c r="M213" s="8">
        <v>394.78989999999999</v>
      </c>
      <c r="N213" s="8">
        <v>13.252770777642013</v>
      </c>
      <c r="O213" s="8">
        <v>4.8344040974288884E-3</v>
      </c>
      <c r="P213" s="8">
        <v>1.6431953197707735E-2</v>
      </c>
      <c r="Q213" s="8">
        <v>1.5798790620203966</v>
      </c>
      <c r="R213" s="41">
        <v>1.3177087417140082E-2</v>
      </c>
      <c r="S213" s="33">
        <v>-7.9729061071476787E-2</v>
      </c>
      <c r="T213" s="36">
        <v>70.900000000000006</v>
      </c>
      <c r="U213" s="34">
        <v>0.17763920833333333</v>
      </c>
      <c r="V213">
        <v>1.33109026245502</v>
      </c>
    </row>
    <row r="214" spans="1:22" x14ac:dyDescent="0.2">
      <c r="A214" s="35" t="s">
        <v>30</v>
      </c>
      <c r="B214" s="36">
        <v>2016</v>
      </c>
      <c r="C214" s="8">
        <v>4.0150120749192482</v>
      </c>
      <c r="D214" s="37">
        <v>9.3145562274322247E-2</v>
      </c>
      <c r="E214" s="6">
        <v>7.6598031367526395E-2</v>
      </c>
      <c r="F214" s="11">
        <v>1.0481</v>
      </c>
      <c r="G214" s="8">
        <v>3338732.79</v>
      </c>
      <c r="H214" s="38">
        <v>21.143842885740131</v>
      </c>
      <c r="I214" s="37">
        <v>141863.55666755998</v>
      </c>
      <c r="J214" s="11">
        <v>2.0994999999999999</v>
      </c>
      <c r="K214" s="11">
        <v>43.984699999999997</v>
      </c>
      <c r="L214" s="38">
        <v>1</v>
      </c>
      <c r="M214" s="8">
        <v>358.65320000000003</v>
      </c>
      <c r="N214" s="8">
        <v>13.374025178277723</v>
      </c>
      <c r="O214" s="8">
        <v>5.0055918323171833E-3</v>
      </c>
      <c r="P214" s="8">
        <v>1.8088715384553714E-2</v>
      </c>
      <c r="Q214" s="8">
        <v>1.5709440274823898</v>
      </c>
      <c r="R214" s="41">
        <v>1.2966150624201771E-2</v>
      </c>
      <c r="S214" s="33">
        <v>-0.10663373506009644</v>
      </c>
      <c r="T214" s="36">
        <v>69.900000000000006</v>
      </c>
      <c r="U214" s="34">
        <v>0.26206356666666669</v>
      </c>
      <c r="V214">
        <v>1.3452139760194699</v>
      </c>
    </row>
    <row r="215" spans="1:22" x14ac:dyDescent="0.2">
      <c r="A215" s="35" t="s">
        <v>30</v>
      </c>
      <c r="B215" s="36">
        <v>2017</v>
      </c>
      <c r="C215" s="8">
        <v>4.2051271897099713</v>
      </c>
      <c r="D215" s="37">
        <v>3.342399096626234</v>
      </c>
      <c r="E215" s="6">
        <v>3.3646336899788842</v>
      </c>
      <c r="F215" s="11">
        <v>1.0548999999999999</v>
      </c>
      <c r="G215" s="8">
        <v>3289727.7</v>
      </c>
      <c r="H215" s="38">
        <v>-1.4677751435148498</v>
      </c>
      <c r="I215" s="37">
        <v>120899.8889375</v>
      </c>
      <c r="J215" s="11">
        <v>2.0628000000000002</v>
      </c>
      <c r="K215" s="11">
        <v>43.305</v>
      </c>
      <c r="L215" s="38">
        <v>1</v>
      </c>
      <c r="M215" s="8">
        <v>345.57889999999998</v>
      </c>
      <c r="N215" s="8">
        <v>13.411976365687673</v>
      </c>
      <c r="O215" s="8">
        <v>4.166999861875441E-3</v>
      </c>
      <c r="P215" s="8">
        <v>1.9240362587946817E-2</v>
      </c>
      <c r="Q215" s="8">
        <v>1.3668464053901181</v>
      </c>
      <c r="R215" s="41">
        <v>1.2889749908894346E-2</v>
      </c>
      <c r="S215" s="33">
        <v>9.9376978830331336E-2</v>
      </c>
      <c r="T215" s="36">
        <v>69.7</v>
      </c>
      <c r="U215" s="34">
        <v>0.38788858333333326</v>
      </c>
      <c r="V215">
        <v>1.3047580767159199</v>
      </c>
    </row>
    <row r="216" spans="1:22" x14ac:dyDescent="0.2">
      <c r="A216" s="35" t="s">
        <v>30</v>
      </c>
      <c r="B216" s="36">
        <v>2018</v>
      </c>
      <c r="C216" s="8">
        <v>4.1695853804985834</v>
      </c>
      <c r="D216" s="37">
        <v>1.0258581083850054</v>
      </c>
      <c r="E216" s="6">
        <v>1.0237703459826542</v>
      </c>
      <c r="F216" s="11">
        <v>1.0355000000000001</v>
      </c>
      <c r="G216" s="8">
        <v>3281783.11</v>
      </c>
      <c r="H216" s="38">
        <v>-0.24149688741716574</v>
      </c>
      <c r="I216" s="37">
        <v>102457.95473200001</v>
      </c>
      <c r="J216" s="11">
        <v>2.1301999999999999</v>
      </c>
      <c r="K216" s="11">
        <v>43.247900000000001</v>
      </c>
      <c r="L216" s="38">
        <v>1</v>
      </c>
      <c r="M216" s="8">
        <v>328.76740000000001</v>
      </c>
      <c r="N216" s="8">
        <v>13.363558709667583</v>
      </c>
      <c r="O216" s="8">
        <v>3.9494515118511618E-3</v>
      </c>
      <c r="P216" s="8">
        <v>2.8087408220546912E-2</v>
      </c>
      <c r="Q216" s="8">
        <v>1.3683672588407447</v>
      </c>
      <c r="R216" s="41">
        <v>1.2739550142530169E-2</v>
      </c>
      <c r="S216" s="33">
        <v>7.6744456043470993E-2</v>
      </c>
      <c r="T216" s="36">
        <v>69.900000000000006</v>
      </c>
      <c r="U216" s="34">
        <v>0.15196149166666664</v>
      </c>
      <c r="V216">
        <v>1.33841214646451</v>
      </c>
    </row>
    <row r="217" spans="1:22" x14ac:dyDescent="0.2">
      <c r="A217" s="35" t="s">
        <v>30</v>
      </c>
      <c r="B217" s="36">
        <v>2019</v>
      </c>
      <c r="C217" s="8">
        <v>3.4395496197902333</v>
      </c>
      <c r="D217" s="37">
        <v>1.3997149811610397</v>
      </c>
      <c r="E217" s="6">
        <v>1.4005884567556706</v>
      </c>
      <c r="F217" s="11">
        <v>1.0417000000000001</v>
      </c>
      <c r="G217" s="8">
        <v>214260.53</v>
      </c>
      <c r="H217" s="38">
        <v>-93.471216018294399</v>
      </c>
      <c r="I217" s="37">
        <v>118993.3932236</v>
      </c>
      <c r="J217" s="11">
        <v>2.117</v>
      </c>
      <c r="K217" s="11">
        <v>48.8874</v>
      </c>
      <c r="L217" s="38">
        <v>1</v>
      </c>
      <c r="M217" s="8">
        <v>354.92079999999999</v>
      </c>
      <c r="N217" s="8">
        <v>13.324146367346646</v>
      </c>
      <c r="O217" s="8">
        <v>5.0224255197124628E-3</v>
      </c>
      <c r="P217" s="8">
        <v>1.9519894231735637E-2</v>
      </c>
      <c r="Q217" s="8">
        <v>1.6695661036441223</v>
      </c>
      <c r="R217" s="41">
        <v>1.275423040318603E-2</v>
      </c>
      <c r="S217" s="33">
        <v>-2.5238976941071883E-2</v>
      </c>
      <c r="T217" s="36">
        <v>69.400000000000006</v>
      </c>
      <c r="U217" s="34">
        <v>0.21756721666666667</v>
      </c>
      <c r="V217">
        <v>1.4385065442138201</v>
      </c>
    </row>
    <row r="218" spans="1:22" x14ac:dyDescent="0.2">
      <c r="A218" s="35" t="s">
        <v>30</v>
      </c>
      <c r="B218" s="36">
        <v>2020</v>
      </c>
      <c r="C218" s="8">
        <v>1.3497934235651912</v>
      </c>
      <c r="D218" s="37">
        <v>0.89619511185715894</v>
      </c>
      <c r="E218" s="6">
        <v>0.87429730947080408</v>
      </c>
      <c r="F218" s="11">
        <v>0.99199999999999999</v>
      </c>
      <c r="G218" s="8">
        <v>223780.72</v>
      </c>
      <c r="H218" s="38">
        <v>4.4432775369313244</v>
      </c>
      <c r="I218" s="37">
        <v>199260.53842002002</v>
      </c>
      <c r="J218" s="11">
        <v>2.032</v>
      </c>
      <c r="K218" s="11">
        <v>63.0456</v>
      </c>
      <c r="L218" s="38">
        <v>1</v>
      </c>
      <c r="M218" s="8">
        <v>316.12509999999997</v>
      </c>
      <c r="N218" s="8">
        <v>13.390796078683532</v>
      </c>
      <c r="O218" s="8">
        <v>8.0181948040609109E-3</v>
      </c>
      <c r="P218" s="8">
        <v>2.7888094472004497E-2</v>
      </c>
      <c r="Q218" s="8">
        <v>2.4133831166745976</v>
      </c>
      <c r="R218" s="41">
        <v>1.1819061479086523E-2</v>
      </c>
      <c r="S218" s="33">
        <v>-4.6884808953549767E-2</v>
      </c>
      <c r="T218" s="36">
        <v>68.3</v>
      </c>
      <c r="U218" s="34">
        <v>0.20738910833333335</v>
      </c>
      <c r="V218">
        <v>1.4530851184701601</v>
      </c>
    </row>
    <row r="219" spans="1:22" x14ac:dyDescent="0.2">
      <c r="A219" s="35" t="s">
        <v>30</v>
      </c>
      <c r="B219" s="36">
        <v>2021</v>
      </c>
      <c r="C219" s="8">
        <v>2.7609372251599242</v>
      </c>
      <c r="D219" s="37">
        <v>-10.517982192399364</v>
      </c>
      <c r="E219" s="6">
        <v>-10.638447133115458</v>
      </c>
      <c r="F219" s="11">
        <v>1.0247999999999999</v>
      </c>
      <c r="G219" s="8">
        <v>230584.22</v>
      </c>
      <c r="H219" s="38">
        <v>3.0402529762170754</v>
      </c>
      <c r="I219" s="37">
        <v>154518.50553488999</v>
      </c>
      <c r="J219" s="11">
        <v>2.0577000000000001</v>
      </c>
      <c r="K219" s="11">
        <v>62.698999999999998</v>
      </c>
      <c r="L219" s="38">
        <v>1</v>
      </c>
      <c r="M219" s="8">
        <v>288.73520000000002</v>
      </c>
      <c r="N219" s="8">
        <v>13.422539197095725</v>
      </c>
      <c r="O219" s="8">
        <v>6.4238150098058023E-3</v>
      </c>
      <c r="P219" s="8">
        <v>6.7211656973054174E-2</v>
      </c>
      <c r="Q219" s="8">
        <v>0.63697261563488472</v>
      </c>
      <c r="R219" s="41">
        <v>1.1394322315203324E-2</v>
      </c>
      <c r="S219" s="33">
        <v>0.17013409527144688</v>
      </c>
      <c r="T219" s="36">
        <v>69.400000000000006</v>
      </c>
      <c r="U219" s="34">
        <v>0.22799430000000001</v>
      </c>
      <c r="V219">
        <v>1.3312242595708099</v>
      </c>
    </row>
    <row r="220" spans="1:22" x14ac:dyDescent="0.2">
      <c r="A220" s="35" t="s">
        <v>30</v>
      </c>
      <c r="B220" s="36">
        <v>2022</v>
      </c>
      <c r="C220" s="8">
        <v>2.7021835032692705</v>
      </c>
      <c r="D220" s="37">
        <v>0.63754470703869981</v>
      </c>
      <c r="E220" s="6">
        <v>0.62637178932117998</v>
      </c>
      <c r="F220" s="11">
        <v>1.0017</v>
      </c>
      <c r="G220" s="8">
        <v>208100.55</v>
      </c>
      <c r="H220" s="38">
        <v>-9.7507409657087614</v>
      </c>
      <c r="I220" s="37">
        <v>97362.906580199997</v>
      </c>
      <c r="J220" s="11">
        <v>1.9352</v>
      </c>
      <c r="K220" s="11">
        <v>55.075699999999998</v>
      </c>
      <c r="L220" s="38">
        <v>1</v>
      </c>
      <c r="M220" s="8">
        <v>329.71960000000001</v>
      </c>
      <c r="N220" s="8">
        <v>13.387998155598961</v>
      </c>
      <c r="O220" s="8">
        <v>5.6543429951885658E-3</v>
      </c>
      <c r="P220" s="8">
        <v>9.3280272323412225E-2</v>
      </c>
      <c r="Q220" s="8">
        <v>0.71849929315043615</v>
      </c>
      <c r="R220" s="41">
        <v>1.1285388015660668E-2</v>
      </c>
      <c r="S220" s="33">
        <v>7.9033467101142882E-2</v>
      </c>
      <c r="T220" s="36">
        <v>69.099999999999994</v>
      </c>
      <c r="U220" s="34">
        <v>0.16926596666666663</v>
      </c>
      <c r="V220">
        <v>1.4416644589652201</v>
      </c>
    </row>
    <row r="221" spans="1:22" x14ac:dyDescent="0.2">
      <c r="A221" s="35"/>
      <c r="B221" s="36"/>
      <c r="C221" s="8"/>
      <c r="D221" s="37"/>
      <c r="E221" s="6"/>
      <c r="F221" s="11"/>
      <c r="G221" s="8"/>
      <c r="H221" s="38"/>
      <c r="I221" s="37"/>
      <c r="J221" s="11"/>
      <c r="K221" s="11"/>
      <c r="L221" s="38"/>
      <c r="M221" s="8"/>
      <c r="N221" s="8"/>
      <c r="O221" s="8"/>
      <c r="P221" s="8"/>
      <c r="Q221" s="8"/>
      <c r="R221" s="41"/>
      <c r="S221" s="33"/>
      <c r="T221" s="36"/>
      <c r="U221" s="34"/>
      <c r="V221"/>
    </row>
    <row r="222" spans="1:22" x14ac:dyDescent="0.2">
      <c r="A222" s="35" t="s">
        <v>95</v>
      </c>
      <c r="B222" s="36">
        <v>2014</v>
      </c>
      <c r="C222" s="37">
        <v>7.631799007491094</v>
      </c>
      <c r="D222" s="37">
        <v>-2.3860257081610294</v>
      </c>
      <c r="E222" s="40">
        <v>3.6800742511315099E-2</v>
      </c>
      <c r="F222" s="37">
        <v>1.0335000000000001</v>
      </c>
      <c r="G222" s="37">
        <v>3163.9</v>
      </c>
      <c r="H222" s="38">
        <v>-75.605656520797154</v>
      </c>
      <c r="I222" s="39">
        <v>107265.81102676461</v>
      </c>
      <c r="J222" s="37">
        <v>2.4817</v>
      </c>
      <c r="K222" s="37">
        <v>64.468900000000005</v>
      </c>
      <c r="L222" s="38">
        <v>1</v>
      </c>
      <c r="M222" s="37">
        <v>199.37299999999999</v>
      </c>
      <c r="N222" s="37">
        <v>8.1170160871384756</v>
      </c>
      <c r="O222" s="37">
        <v>2.7066111097415017E-4</v>
      </c>
      <c r="P222" s="37">
        <v>1.6323452889545103E-2</v>
      </c>
      <c r="Q222" s="37">
        <v>2.2477759360476703</v>
      </c>
      <c r="R222" s="41">
        <v>1.1349298487660526E-2</v>
      </c>
      <c r="S222" s="33">
        <v>-6.8982897117293038E-2</v>
      </c>
      <c r="T222" s="36">
        <v>71.099999999999994</v>
      </c>
      <c r="U222" s="34">
        <v>0.10778419166666668</v>
      </c>
      <c r="V222">
        <v>1.1093632928169199</v>
      </c>
    </row>
    <row r="223" spans="1:22" x14ac:dyDescent="0.2">
      <c r="A223" s="35" t="s">
        <v>95</v>
      </c>
      <c r="B223" s="36">
        <v>2015</v>
      </c>
      <c r="C223" s="37">
        <v>7.800885911916259</v>
      </c>
      <c r="D223" s="37">
        <v>2.4391112914918445</v>
      </c>
      <c r="E223" s="40">
        <v>-8.2045849926550788E-3</v>
      </c>
      <c r="F223" s="37">
        <v>1.0315000000000001</v>
      </c>
      <c r="G223" s="37">
        <v>3010.08</v>
      </c>
      <c r="H223" s="38">
        <v>-4.8617212933405023</v>
      </c>
      <c r="I223" s="39">
        <v>67883.088285119113</v>
      </c>
      <c r="J223" s="37">
        <v>2.2894999999999999</v>
      </c>
      <c r="K223" s="37">
        <v>62.728200000000001</v>
      </c>
      <c r="L223" s="38">
        <v>1</v>
      </c>
      <c r="M223" s="37">
        <v>286.28680000000003</v>
      </c>
      <c r="N223" s="37">
        <v>8.0535148910319414</v>
      </c>
      <c r="O223" s="37">
        <v>1.8640759505563625E-4</v>
      </c>
      <c r="P223" s="37">
        <v>1.6217096425551619E-2</v>
      </c>
      <c r="Q223" s="37">
        <v>1.9943963625693637</v>
      </c>
      <c r="R223" s="41">
        <v>1.2108028893137798E-2</v>
      </c>
      <c r="S223" s="33">
        <v>-7.9729061071476787E-2</v>
      </c>
      <c r="T223" s="36">
        <v>70.900000000000006</v>
      </c>
      <c r="U223" s="34">
        <v>0.17763920833333333</v>
      </c>
      <c r="V223">
        <v>1.33109026245502</v>
      </c>
    </row>
    <row r="224" spans="1:22" x14ac:dyDescent="0.2">
      <c r="A224" s="35" t="s">
        <v>95</v>
      </c>
      <c r="B224" s="36">
        <v>2016</v>
      </c>
      <c r="C224" s="37">
        <v>6.2077688680194072</v>
      </c>
      <c r="D224" s="37">
        <v>9.1809143276595749E-3</v>
      </c>
      <c r="E224" s="40">
        <v>1.5616232531699576E-2</v>
      </c>
      <c r="F224" s="37">
        <v>1.0138</v>
      </c>
      <c r="G224" s="37">
        <v>3056.29</v>
      </c>
      <c r="H224" s="38">
        <v>1.53517514484665</v>
      </c>
      <c r="I224" s="39">
        <v>85899.532476645807</v>
      </c>
      <c r="J224" s="37">
        <v>2.1829000000000001</v>
      </c>
      <c r="K224" s="37">
        <v>66.707700000000003</v>
      </c>
      <c r="L224" s="38">
        <v>1</v>
      </c>
      <c r="M224" s="37">
        <v>279.18450000000001</v>
      </c>
      <c r="N224" s="37">
        <v>8.0980805580468562</v>
      </c>
      <c r="O224" s="37">
        <v>2.7379856501612596E-4</v>
      </c>
      <c r="P224" s="37">
        <v>1.8156102704054981E-2</v>
      </c>
      <c r="Q224" s="37">
        <v>2.2983922421424303</v>
      </c>
      <c r="R224" s="41">
        <v>1.1844706764058046E-2</v>
      </c>
      <c r="S224" s="33">
        <v>-0.10663373506009644</v>
      </c>
      <c r="T224" s="36">
        <v>69.900000000000006</v>
      </c>
      <c r="U224" s="34">
        <v>0.26206356666666669</v>
      </c>
      <c r="V224">
        <v>1.3452139760194699</v>
      </c>
    </row>
    <row r="225" spans="1:22" x14ac:dyDescent="0.2">
      <c r="A225" s="35" t="s">
        <v>95</v>
      </c>
      <c r="B225" s="36">
        <v>2017</v>
      </c>
      <c r="C225" s="37">
        <v>5.9843734981385177</v>
      </c>
      <c r="D225" s="37">
        <v>15.618080888597634</v>
      </c>
      <c r="E225" s="40">
        <v>-0.14226934720484988</v>
      </c>
      <c r="F225" s="37">
        <v>1.0235000000000001</v>
      </c>
      <c r="G225" s="37">
        <v>3687.52</v>
      </c>
      <c r="H225" s="38">
        <v>20.653472019998105</v>
      </c>
      <c r="I225" s="39">
        <v>74232.005288864748</v>
      </c>
      <c r="J225" s="37">
        <v>1.9637</v>
      </c>
      <c r="K225" s="37">
        <v>66.105500000000006</v>
      </c>
      <c r="L225" s="38">
        <v>1</v>
      </c>
      <c r="M225" s="37">
        <v>331.6583</v>
      </c>
      <c r="N225" s="37">
        <v>8.2348950794035662</v>
      </c>
      <c r="O225" s="37">
        <v>2.2342105123131665E-4</v>
      </c>
      <c r="P225" s="37">
        <v>1.3102599213531071E-2</v>
      </c>
      <c r="Q225" s="37">
        <v>2.2275644447235394</v>
      </c>
      <c r="R225" s="41">
        <v>1.2058854793338685E-2</v>
      </c>
      <c r="S225" s="33">
        <v>9.9376978830331336E-2</v>
      </c>
      <c r="T225" s="36">
        <v>69.7</v>
      </c>
      <c r="U225" s="34">
        <v>0.38788858333333326</v>
      </c>
      <c r="V225">
        <v>1.3047580767159199</v>
      </c>
    </row>
    <row r="226" spans="1:22" x14ac:dyDescent="0.2">
      <c r="A226" s="35" t="s">
        <v>95</v>
      </c>
      <c r="B226" s="36">
        <v>2018</v>
      </c>
      <c r="C226" s="37">
        <v>5.7979290656706297</v>
      </c>
      <c r="D226" s="37">
        <v>1.3333317814035419</v>
      </c>
      <c r="E226" s="40">
        <v>6.0877288136179436E-4</v>
      </c>
      <c r="F226" s="37">
        <v>1.0246999999999999</v>
      </c>
      <c r="G226" s="37">
        <v>3762.29</v>
      </c>
      <c r="H226" s="38">
        <v>2.0276500195253173</v>
      </c>
      <c r="I226" s="39">
        <v>63240.081088714913</v>
      </c>
      <c r="J226" s="37">
        <v>1.8384</v>
      </c>
      <c r="K226" s="37">
        <v>63.032699999999998</v>
      </c>
      <c r="L226" s="38">
        <v>1</v>
      </c>
      <c r="M226" s="37">
        <v>375.72489999999999</v>
      </c>
      <c r="N226" s="37">
        <v>8.2483838238206797</v>
      </c>
      <c r="O226" s="37">
        <v>1.2725194246565271E-4</v>
      </c>
      <c r="P226" s="37">
        <v>1.3136393155185526E-2</v>
      </c>
      <c r="Q226" s="37">
        <v>2.2092876951890643</v>
      </c>
      <c r="R226" s="41">
        <v>1.259574468259738E-2</v>
      </c>
      <c r="S226" s="33">
        <v>7.6744456043470993E-2</v>
      </c>
      <c r="T226" s="36">
        <v>69.900000000000006</v>
      </c>
      <c r="U226" s="34">
        <v>0.15196149166666664</v>
      </c>
      <c r="V226">
        <v>1.33841214646451</v>
      </c>
    </row>
    <row r="227" spans="1:22" x14ac:dyDescent="0.2">
      <c r="A227" s="35" t="s">
        <v>95</v>
      </c>
      <c r="B227" s="36">
        <v>2019</v>
      </c>
      <c r="C227" s="37">
        <v>5.2959959775012333</v>
      </c>
      <c r="D227" s="37">
        <v>0.48236717738585627</v>
      </c>
      <c r="E227" s="40">
        <v>8.2729693187203416E-3</v>
      </c>
      <c r="F227" s="37">
        <v>1.0137</v>
      </c>
      <c r="G227" s="37">
        <v>3976.6419999999998</v>
      </c>
      <c r="H227" s="38">
        <v>5.6973811162882146</v>
      </c>
      <c r="I227" s="39">
        <v>74083.148927157992</v>
      </c>
      <c r="J227" s="37">
        <v>1.6974</v>
      </c>
      <c r="K227" s="37">
        <v>64.772400000000005</v>
      </c>
      <c r="L227" s="38">
        <v>1</v>
      </c>
      <c r="M227" s="37">
        <v>419.98719999999997</v>
      </c>
      <c r="N227" s="37">
        <v>8.295374162534781</v>
      </c>
      <c r="O227" s="37">
        <v>4.6761358370343809E-4</v>
      </c>
      <c r="P227" s="37">
        <v>1.4031402778757036E-2</v>
      </c>
      <c r="Q227" s="37">
        <v>2.6447718497085178</v>
      </c>
      <c r="R227" s="41">
        <v>1.2656858753912089E-2</v>
      </c>
      <c r="S227" s="33">
        <v>-2.5238976941071883E-2</v>
      </c>
      <c r="T227" s="36">
        <v>69.400000000000006</v>
      </c>
      <c r="U227" s="34">
        <v>0.21756721666666667</v>
      </c>
      <c r="V227">
        <v>1.4385065442138201</v>
      </c>
    </row>
    <row r="228" spans="1:22" x14ac:dyDescent="0.2">
      <c r="A228" s="35" t="s">
        <v>95</v>
      </c>
      <c r="B228" s="36">
        <v>2020</v>
      </c>
      <c r="C228" s="37">
        <v>4.7639537558414879</v>
      </c>
      <c r="D228" s="37">
        <v>1.0029652497682233</v>
      </c>
      <c r="E228" s="40">
        <v>1.8933465101113808E-2</v>
      </c>
      <c r="F228" s="37">
        <v>1.0038</v>
      </c>
      <c r="G228" s="37">
        <v>4033.62</v>
      </c>
      <c r="H228" s="38">
        <v>1.4328169344889499</v>
      </c>
      <c r="I228" s="39">
        <v>124144.91492851469</v>
      </c>
      <c r="J228" s="37">
        <v>1.7455000000000001</v>
      </c>
      <c r="K228" s="37">
        <v>62.822400000000002</v>
      </c>
      <c r="L228" s="38">
        <v>1</v>
      </c>
      <c r="M228" s="37">
        <v>457.58519999999999</v>
      </c>
      <c r="N228" s="37">
        <v>8.3428422566494049</v>
      </c>
      <c r="O228" s="37">
        <v>1.3105882096801841E-3</v>
      </c>
      <c r="P228" s="37">
        <v>1.9142810197394042E-2</v>
      </c>
      <c r="Q228" s="37">
        <v>2.0659714161974883</v>
      </c>
      <c r="R228" s="41">
        <v>1.2600733938489249E-2</v>
      </c>
      <c r="S228" s="33">
        <v>-4.6884808953549767E-2</v>
      </c>
      <c r="T228" s="36">
        <v>68.3</v>
      </c>
      <c r="U228" s="34">
        <v>0.20738910833333335</v>
      </c>
      <c r="V228">
        <v>1.4530851184701601</v>
      </c>
    </row>
    <row r="229" spans="1:22" x14ac:dyDescent="0.2">
      <c r="A229" s="35" t="s">
        <v>95</v>
      </c>
      <c r="B229" s="36">
        <v>2021</v>
      </c>
      <c r="C229" s="37">
        <v>5.3943082111028291</v>
      </c>
      <c r="D229" s="37">
        <v>-70.23106746900794</v>
      </c>
      <c r="E229" s="40">
        <v>0.72827007486338258</v>
      </c>
      <c r="F229" s="37">
        <v>1.0028999999999999</v>
      </c>
      <c r="G229" s="37">
        <v>4650.6400000000003</v>
      </c>
      <c r="H229" s="38">
        <v>15.296929309156551</v>
      </c>
      <c r="I229" s="39">
        <v>97827.729433073968</v>
      </c>
      <c r="J229" s="37">
        <v>1.8313999999999999</v>
      </c>
      <c r="K229" s="37">
        <v>62.418399999999998</v>
      </c>
      <c r="L229" s="38">
        <v>1</v>
      </c>
      <c r="M229" s="37">
        <v>281.75209999999998</v>
      </c>
      <c r="N229" s="37">
        <v>8.4979888223279225</v>
      </c>
      <c r="O229" s="37">
        <v>9.6531375002088349E-4</v>
      </c>
      <c r="P229" s="37">
        <v>1.2273455107890909E-2</v>
      </c>
      <c r="Q229" s="37">
        <v>1.006280593147135</v>
      </c>
      <c r="R229" s="41">
        <v>1.1387730271378965E-2</v>
      </c>
      <c r="S229" s="33">
        <v>0.17013409527144688</v>
      </c>
      <c r="T229" s="36">
        <v>69.400000000000006</v>
      </c>
      <c r="U229" s="34">
        <v>0.22799430000000001</v>
      </c>
      <c r="V229">
        <v>1.3312242595708099</v>
      </c>
    </row>
    <row r="230" spans="1:22" x14ac:dyDescent="0.2">
      <c r="A230" s="35" t="s">
        <v>95</v>
      </c>
      <c r="B230" s="36">
        <v>2022</v>
      </c>
      <c r="C230" s="37">
        <v>5.3076677462337649</v>
      </c>
      <c r="D230" s="37">
        <v>0.59314402732942206</v>
      </c>
      <c r="E230" s="40">
        <v>1.5490479498024165E-2</v>
      </c>
      <c r="F230" s="37">
        <v>1.0184250000000001</v>
      </c>
      <c r="G230" s="37">
        <v>5335.34</v>
      </c>
      <c r="H230" s="38">
        <v>14.722704832023116</v>
      </c>
      <c r="I230" s="39">
        <v>62744.846881503268</v>
      </c>
      <c r="J230" s="37">
        <v>2.0038125</v>
      </c>
      <c r="K230" s="37">
        <v>64.132024999999999</v>
      </c>
      <c r="L230" s="38">
        <v>1</v>
      </c>
      <c r="M230" s="37">
        <v>328.94400000000002</v>
      </c>
      <c r="N230" s="37">
        <v>8.6278021458917245</v>
      </c>
      <c r="O230" s="37">
        <v>6.3892468024367619E-4</v>
      </c>
      <c r="P230" s="37">
        <v>1.4718547529323483E-2</v>
      </c>
      <c r="Q230" s="37">
        <v>1.0989178754011695</v>
      </c>
      <c r="R230" s="41">
        <v>1.1948911842379582E-2</v>
      </c>
      <c r="S230" s="33">
        <v>7.9033467101142882E-2</v>
      </c>
      <c r="T230" s="36">
        <v>69.099999999999994</v>
      </c>
      <c r="U230" s="34">
        <v>0.16926596666666663</v>
      </c>
      <c r="V230">
        <v>1.4416644589652201</v>
      </c>
    </row>
    <row r="231" spans="1:22" x14ac:dyDescent="0.2">
      <c r="A231" s="35"/>
      <c r="B231" s="36"/>
      <c r="C231" s="37"/>
      <c r="D231" s="37"/>
      <c r="E231" s="40"/>
      <c r="F231" s="37"/>
      <c r="G231" s="37"/>
      <c r="H231" s="38"/>
      <c r="I231" s="39"/>
      <c r="J231" s="37"/>
      <c r="K231" s="37"/>
      <c r="L231" s="38"/>
      <c r="M231" s="37"/>
      <c r="N231" s="37"/>
      <c r="O231" s="37"/>
      <c r="P231" s="37"/>
      <c r="Q231" s="37"/>
      <c r="R231" s="41"/>
      <c r="S231" s="33"/>
      <c r="T231" s="36"/>
      <c r="U231" s="34"/>
      <c r="V231"/>
    </row>
    <row r="232" spans="1:22" x14ac:dyDescent="0.2">
      <c r="A232" s="35" t="s">
        <v>36</v>
      </c>
      <c r="B232" s="36">
        <v>2014</v>
      </c>
      <c r="C232" s="8">
        <v>2.4340746078406701</v>
      </c>
      <c r="D232" s="37">
        <v>1.9733761327885895</v>
      </c>
      <c r="E232" s="6">
        <v>-1.2775887590475224E-2</v>
      </c>
      <c r="F232" s="11">
        <v>1.0908</v>
      </c>
      <c r="G232" s="8">
        <v>926398</v>
      </c>
      <c r="H232" s="38">
        <v>5.5690530672525549</v>
      </c>
      <c r="I232" s="37">
        <v>27272.150402489999</v>
      </c>
      <c r="J232" s="11">
        <v>2.0333999999999999</v>
      </c>
      <c r="K232" s="11">
        <v>52.0501</v>
      </c>
      <c r="L232" s="38">
        <v>1</v>
      </c>
      <c r="M232" s="8">
        <v>62.861600000000003</v>
      </c>
      <c r="N232" s="8">
        <v>12.001587999696921</v>
      </c>
      <c r="O232" s="8">
        <v>2.783713856960406E-3</v>
      </c>
      <c r="P232" s="8">
        <v>8.3319240175267428E-2</v>
      </c>
      <c r="Q232" s="8">
        <v>0.3289974099285024</v>
      </c>
      <c r="R232" s="41">
        <v>7.2643041567379925E-3</v>
      </c>
      <c r="S232" s="33">
        <v>5.7175487891084675E-2</v>
      </c>
      <c r="T232" s="36">
        <v>61.4</v>
      </c>
      <c r="U232" s="34">
        <v>7.7804516666666657E-2</v>
      </c>
      <c r="V232">
        <v>7.7540833333333303</v>
      </c>
    </row>
    <row r="233" spans="1:22" x14ac:dyDescent="0.2">
      <c r="A233" s="35" t="s">
        <v>36</v>
      </c>
      <c r="B233" s="36">
        <v>2015</v>
      </c>
      <c r="C233" s="8">
        <v>3.9574860252794566</v>
      </c>
      <c r="D233" s="37">
        <v>-1.3360778931636197</v>
      </c>
      <c r="E233" s="6">
        <v>2.6024897295819586E-2</v>
      </c>
      <c r="F233" s="11">
        <v>1.1102000000000001</v>
      </c>
      <c r="G233" s="8">
        <v>1133146</v>
      </c>
      <c r="H233" s="38">
        <v>22.317405693881032</v>
      </c>
      <c r="I233" s="37">
        <v>35314.562123540003</v>
      </c>
      <c r="J233" s="11">
        <v>1.8535999999999999</v>
      </c>
      <c r="K233" s="11">
        <v>53.331800000000001</v>
      </c>
      <c r="L233" s="38">
        <v>1</v>
      </c>
      <c r="M233" s="8">
        <v>60.808799999999998</v>
      </c>
      <c r="N233" s="8">
        <v>12.056308296506426</v>
      </c>
      <c r="O233" s="8">
        <v>2.3386781749080519E-3</v>
      </c>
      <c r="P233" s="8">
        <v>7.8227405411873008E-2</v>
      </c>
      <c r="Q233" s="8">
        <v>0.30350436524695174</v>
      </c>
      <c r="R233" s="41">
        <v>7.160387118434427E-3</v>
      </c>
      <c r="S233" s="33">
        <v>6.1502916934285043E-2</v>
      </c>
      <c r="T233" s="36">
        <v>60.9</v>
      </c>
      <c r="U233" s="34">
        <v>2.9720791666666666E-2</v>
      </c>
      <c r="V233">
        <v>7.7517500000000004</v>
      </c>
    </row>
    <row r="234" spans="1:22" x14ac:dyDescent="0.2">
      <c r="A234" s="35" t="s">
        <v>36</v>
      </c>
      <c r="B234" s="36">
        <v>2016</v>
      </c>
      <c r="C234" s="8">
        <v>2.3109102963051402</v>
      </c>
      <c r="D234" s="37">
        <v>-2.169649373229297</v>
      </c>
      <c r="E234" s="6">
        <v>3.3639435895679734E-2</v>
      </c>
      <c r="F234" s="11">
        <v>1.1032999999999999</v>
      </c>
      <c r="G234" s="8">
        <v>1224592</v>
      </c>
      <c r="H234" s="38">
        <v>8.0700986457173212</v>
      </c>
      <c r="I234" s="37">
        <v>41722.764784739993</v>
      </c>
      <c r="J234" s="11">
        <v>1.8828</v>
      </c>
      <c r="K234" s="11">
        <v>53.8962</v>
      </c>
      <c r="L234" s="38">
        <v>1</v>
      </c>
      <c r="M234" s="8">
        <v>61.3643</v>
      </c>
      <c r="N234" s="8">
        <v>12.087397564244368</v>
      </c>
      <c r="O234" s="8">
        <v>2.6524894031078865E-3</v>
      </c>
      <c r="P234" s="8">
        <v>6.3457614177282656E-2</v>
      </c>
      <c r="Q234" s="8">
        <v>0.22270671355150357</v>
      </c>
      <c r="R234" s="41">
        <v>7.0461704404009033E-3</v>
      </c>
      <c r="S234" s="33">
        <v>3.7088649642907798E-2</v>
      </c>
      <c r="T234" s="36">
        <v>61.6</v>
      </c>
      <c r="U234" s="34">
        <v>9.6016116666666665E-2</v>
      </c>
      <c r="V234">
        <v>7.7622499999999999</v>
      </c>
    </row>
    <row r="235" spans="1:22" x14ac:dyDescent="0.2">
      <c r="A235" s="35" t="s">
        <v>36</v>
      </c>
      <c r="B235" s="36">
        <v>2017</v>
      </c>
      <c r="C235" s="8">
        <v>2.6795153506864291</v>
      </c>
      <c r="D235" s="37">
        <v>1.0274763628369974</v>
      </c>
      <c r="E235" s="6">
        <v>-2.0638028515299555E-3</v>
      </c>
      <c r="F235" s="11">
        <v>1.1528</v>
      </c>
      <c r="G235" s="8">
        <v>1320820</v>
      </c>
      <c r="H235" s="38">
        <v>7.8579641219279557</v>
      </c>
      <c r="I235" s="37">
        <v>25226.00506838</v>
      </c>
      <c r="J235" s="11">
        <v>1.9713000000000001</v>
      </c>
      <c r="K235" s="11">
        <v>50.896599999999999</v>
      </c>
      <c r="L235" s="38">
        <v>1</v>
      </c>
      <c r="M235" s="8">
        <v>62.030299999999997</v>
      </c>
      <c r="N235" s="8">
        <v>12.150783740363485</v>
      </c>
      <c r="O235" s="8">
        <v>1.9760690701705074E-3</v>
      </c>
      <c r="P235" s="8">
        <v>7.4855239647967919E-2</v>
      </c>
      <c r="Q235" s="8">
        <v>0.1972225904851895</v>
      </c>
      <c r="R235" s="41">
        <v>7.5148074610391592E-3</v>
      </c>
      <c r="S235" s="33">
        <v>6.3619496879427528E-2</v>
      </c>
      <c r="T235" s="36">
        <v>60.7</v>
      </c>
      <c r="U235" s="34">
        <v>8.6409499999999997E-3</v>
      </c>
      <c r="V235">
        <v>7.7932499999999996</v>
      </c>
    </row>
    <row r="236" spans="1:22" x14ac:dyDescent="0.2">
      <c r="A236" s="35" t="s">
        <v>36</v>
      </c>
      <c r="B236" s="36">
        <v>2018</v>
      </c>
      <c r="C236" s="8">
        <v>3.0108817891124122</v>
      </c>
      <c r="D236" s="37">
        <v>0.88628953041273206</v>
      </c>
      <c r="E236" s="6">
        <v>4.3244133236888995E-3</v>
      </c>
      <c r="F236" s="11">
        <v>1.1152</v>
      </c>
      <c r="G236" s="8">
        <v>1338936</v>
      </c>
      <c r="H236" s="38">
        <v>1.3715722051452885</v>
      </c>
      <c r="I236" s="37">
        <v>27585.268191250001</v>
      </c>
      <c r="J236" s="11">
        <v>2.1941000000000002</v>
      </c>
      <c r="K236" s="11">
        <v>47.786499999999997</v>
      </c>
      <c r="L236" s="38">
        <v>1</v>
      </c>
      <c r="M236" s="8">
        <v>22.683199999999999</v>
      </c>
      <c r="N236" s="8">
        <v>12.209168509892946</v>
      </c>
      <c r="O236" s="8">
        <v>3.0531252034291787E-3</v>
      </c>
      <c r="P236" s="8">
        <v>6.928166290104916E-2</v>
      </c>
      <c r="Q236" s="8">
        <v>0.27144238167820928</v>
      </c>
      <c r="R236" s="41">
        <v>7.5734887247969488E-3</v>
      </c>
      <c r="S236" s="33">
        <v>5.994545160322088E-2</v>
      </c>
      <c r="T236" s="36">
        <v>57.6</v>
      </c>
      <c r="U236" s="34">
        <v>1.4011116666666665E-2</v>
      </c>
      <c r="V236">
        <v>7.8384999999999998</v>
      </c>
    </row>
    <row r="237" spans="1:22" x14ac:dyDescent="0.2">
      <c r="A237" s="35" t="s">
        <v>36</v>
      </c>
      <c r="B237" s="36">
        <v>2019</v>
      </c>
      <c r="C237" s="8">
        <v>2.9131672159598945</v>
      </c>
      <c r="D237" s="37">
        <v>8.4200923866867741E-2</v>
      </c>
      <c r="E237" s="6">
        <v>1.1915947742641734E-2</v>
      </c>
      <c r="F237" s="11">
        <v>1.0839000000000001</v>
      </c>
      <c r="G237" s="8">
        <v>1450063</v>
      </c>
      <c r="H237" s="38">
        <v>8.299649871241046</v>
      </c>
      <c r="I237" s="37">
        <v>26610.70297056</v>
      </c>
      <c r="J237" s="11">
        <v>2.2086000000000001</v>
      </c>
      <c r="K237" s="11">
        <v>51.931600000000003</v>
      </c>
      <c r="L237" s="38">
        <v>1</v>
      </c>
      <c r="M237" s="8">
        <v>34.563000000000002</v>
      </c>
      <c r="N237" s="8">
        <v>12.279773515114602</v>
      </c>
      <c r="O237" s="8">
        <v>3.7117925567052542E-3</v>
      </c>
      <c r="P237" s="8">
        <v>5.5286577771983085E-2</v>
      </c>
      <c r="Q237" s="8">
        <v>0.41716182900517751</v>
      </c>
      <c r="R237" s="41">
        <v>7.7536098671387122E-3</v>
      </c>
      <c r="S237" s="33">
        <v>3.714056185031663E-3</v>
      </c>
      <c r="T237" s="36">
        <v>57.9</v>
      </c>
      <c r="U237" s="34">
        <v>4.1567483333333342E-2</v>
      </c>
      <c r="V237">
        <v>7.8359166666666704</v>
      </c>
    </row>
    <row r="238" spans="1:22" x14ac:dyDescent="0.2">
      <c r="A238" s="35" t="s">
        <v>36</v>
      </c>
      <c r="B238" s="36">
        <v>2020</v>
      </c>
      <c r="C238" s="8">
        <v>1.9144672161352614</v>
      </c>
      <c r="D238" s="37">
        <v>0.69735847946005936</v>
      </c>
      <c r="E238" s="6">
        <v>1.1360217180057794E-2</v>
      </c>
      <c r="F238" s="11">
        <v>1.0479000000000001</v>
      </c>
      <c r="G238" s="8">
        <v>1669885</v>
      </c>
      <c r="H238" s="38">
        <v>15.159479277796894</v>
      </c>
      <c r="I238" s="37">
        <v>73830.392090439986</v>
      </c>
      <c r="J238" s="11">
        <v>1.7425999999999999</v>
      </c>
      <c r="K238" s="11">
        <v>57.912100000000002</v>
      </c>
      <c r="L238" s="38">
        <v>1</v>
      </c>
      <c r="M238" s="8">
        <v>38.0092</v>
      </c>
      <c r="N238" s="8">
        <v>12.332533188261703</v>
      </c>
      <c r="O238" s="8">
        <v>5.4528952195921562E-3</v>
      </c>
      <c r="P238" s="8">
        <v>6.2300840826599112E-2</v>
      </c>
      <c r="Q238" s="8">
        <v>0.43681985969980591</v>
      </c>
      <c r="R238" s="41">
        <v>7.4683545568193198E-3</v>
      </c>
      <c r="S238" s="33">
        <v>-4.9938533014777367E-2</v>
      </c>
      <c r="T238" s="36">
        <v>57.5</v>
      </c>
      <c r="U238" s="34">
        <v>0.25270476666666669</v>
      </c>
      <c r="V238">
        <v>7.75725</v>
      </c>
    </row>
    <row r="239" spans="1:22" x14ac:dyDescent="0.2">
      <c r="A239" s="35" t="s">
        <v>36</v>
      </c>
      <c r="B239" s="36">
        <v>2021</v>
      </c>
      <c r="C239" s="8">
        <v>1.5690665401220421</v>
      </c>
      <c r="D239" s="37">
        <v>-1.9265862530410329</v>
      </c>
      <c r="E239" s="6">
        <v>3.0672993106873197E-2</v>
      </c>
      <c r="F239" s="11">
        <v>1.0550999999999999</v>
      </c>
      <c r="G239" s="8">
        <v>1801743</v>
      </c>
      <c r="H239" s="38">
        <v>7.8962323752833283</v>
      </c>
      <c r="I239" s="37">
        <v>133756.4610516</v>
      </c>
      <c r="J239" s="11">
        <v>1.5041</v>
      </c>
      <c r="K239" s="11">
        <v>61.5642</v>
      </c>
      <c r="L239" s="38">
        <v>1</v>
      </c>
      <c r="M239" s="8">
        <v>49.182299999999998</v>
      </c>
      <c r="N239" s="8">
        <v>12.360645532786759</v>
      </c>
      <c r="O239" s="8">
        <v>6.8981654310317749E-3</v>
      </c>
      <c r="P239" s="8">
        <v>6.1055648058457257E-2</v>
      </c>
      <c r="Q239" s="8">
        <v>0.28864519563430513</v>
      </c>
      <c r="R239" s="41">
        <v>7.656178567856893E-3</v>
      </c>
      <c r="S239" s="33">
        <v>6.9484604300285288E-2</v>
      </c>
      <c r="T239" s="36">
        <v>58.8</v>
      </c>
      <c r="U239" s="34">
        <v>0.30359063333333336</v>
      </c>
      <c r="V239">
        <v>7.77325</v>
      </c>
    </row>
    <row r="240" spans="1:22" x14ac:dyDescent="0.2">
      <c r="A240" s="35" t="s">
        <v>36</v>
      </c>
      <c r="B240" s="36">
        <v>2022</v>
      </c>
      <c r="C240" s="8">
        <v>1.1476438628302368</v>
      </c>
      <c r="D240" s="37">
        <v>16.029094339521126</v>
      </c>
      <c r="E240" s="6">
        <v>-0.14578099752268955</v>
      </c>
      <c r="F240" s="11">
        <v>1.0401</v>
      </c>
      <c r="G240" s="8">
        <v>1981831</v>
      </c>
      <c r="H240" s="38">
        <v>9.995210193684672</v>
      </c>
      <c r="I240" s="37">
        <v>310346.42356090003</v>
      </c>
      <c r="J240" s="11">
        <v>1.7787999999999999</v>
      </c>
      <c r="K240" s="11">
        <v>63.940399999999997</v>
      </c>
      <c r="L240" s="38">
        <v>1</v>
      </c>
      <c r="M240" s="8">
        <v>49.092500000000001</v>
      </c>
      <c r="N240" s="8">
        <v>12.399756932136814</v>
      </c>
      <c r="O240" s="8">
        <v>1.4177625631345029E-2</v>
      </c>
      <c r="P240" s="8">
        <v>8.0575890910932285E-2</v>
      </c>
      <c r="Q240" s="8">
        <v>0.97343598819419408</v>
      </c>
      <c r="R240" s="41">
        <v>7.0351677101329847E-3</v>
      </c>
      <c r="S240" s="33">
        <v>-2.4593410066074222E-2</v>
      </c>
      <c r="T240" s="36">
        <v>62.5</v>
      </c>
      <c r="U240" s="34">
        <v>0.14945029999999998</v>
      </c>
      <c r="V240">
        <v>7.8314166666666702</v>
      </c>
    </row>
    <row r="241" spans="1:22" x14ac:dyDescent="0.2">
      <c r="A241" s="35"/>
      <c r="B241" s="36"/>
      <c r="C241" s="8"/>
      <c r="D241" s="37"/>
      <c r="E241" s="6"/>
      <c r="F241" s="11"/>
      <c r="G241" s="8"/>
      <c r="H241" s="38"/>
      <c r="I241" s="37"/>
      <c r="J241" s="11"/>
      <c r="K241" s="11"/>
      <c r="L241" s="38"/>
      <c r="M241" s="8"/>
      <c r="N241" s="8"/>
      <c r="O241" s="8"/>
      <c r="P241" s="8"/>
      <c r="Q241" s="8"/>
      <c r="R241" s="41"/>
      <c r="S241" s="33"/>
      <c r="T241" s="36"/>
      <c r="U241" s="34"/>
      <c r="V241"/>
    </row>
    <row r="242" spans="1:22" x14ac:dyDescent="0.2">
      <c r="A242" s="35" t="s">
        <v>37</v>
      </c>
      <c r="B242" s="36">
        <v>2014</v>
      </c>
      <c r="C242" s="8">
        <v>3.7102830837226382</v>
      </c>
      <c r="D242" s="37">
        <v>10.002591764117398</v>
      </c>
      <c r="E242" s="6">
        <v>-9.0076091612452058E-2</v>
      </c>
      <c r="F242" s="11">
        <v>1.0056</v>
      </c>
      <c r="G242" s="8">
        <v>862144</v>
      </c>
      <c r="H242" s="38">
        <v>55.713852244650262</v>
      </c>
      <c r="I242" s="37">
        <v>35288.993379239997</v>
      </c>
      <c r="J242" s="11">
        <v>1.9927999999999999</v>
      </c>
      <c r="K242" s="11">
        <v>53.760899999999999</v>
      </c>
      <c r="L242" s="38">
        <v>1</v>
      </c>
      <c r="M242" s="8">
        <v>99.535700000000006</v>
      </c>
      <c r="N242" s="8">
        <v>11.539021578046517</v>
      </c>
      <c r="O242" s="8">
        <v>2.686710454508055E-3</v>
      </c>
      <c r="P242" s="8">
        <v>9.0416740616118513E-2</v>
      </c>
      <c r="Q242" s="8">
        <v>1.7085951492301374</v>
      </c>
      <c r="R242" s="41">
        <v>8.5045073906383408E-3</v>
      </c>
      <c r="S242" s="33">
        <v>5.7175487891084675E-2</v>
      </c>
      <c r="T242" s="36">
        <v>61.4</v>
      </c>
      <c r="U242" s="34">
        <v>7.7804516666666657E-2</v>
      </c>
      <c r="V242">
        <v>7.7540833333333303</v>
      </c>
    </row>
    <row r="243" spans="1:22" x14ac:dyDescent="0.2">
      <c r="A243" s="35" t="s">
        <v>37</v>
      </c>
      <c r="B243" s="36">
        <v>2015</v>
      </c>
      <c r="C243" s="8">
        <v>3.1564978183103962</v>
      </c>
      <c r="D243" s="37">
        <v>0.34027290491747531</v>
      </c>
      <c r="E243" s="6">
        <v>1.1269896664619224E-2</v>
      </c>
      <c r="F243" s="11">
        <v>0.99839999999999995</v>
      </c>
      <c r="G243" s="8">
        <v>1102010</v>
      </c>
      <c r="H243" s="38">
        <v>27.822034370128424</v>
      </c>
      <c r="I243" s="37">
        <v>64171.841144599995</v>
      </c>
      <c r="J243" s="11">
        <v>1.8272999999999999</v>
      </c>
      <c r="K243" s="11">
        <v>55.276899999999998</v>
      </c>
      <c r="L243" s="38">
        <v>1</v>
      </c>
      <c r="M243" s="8">
        <v>74.272800000000004</v>
      </c>
      <c r="N243" s="8">
        <v>11.52109064298976</v>
      </c>
      <c r="O243" s="8">
        <v>5.1644325900138659E-3</v>
      </c>
      <c r="P243" s="8">
        <v>0.14200476326979039</v>
      </c>
      <c r="Q243" s="8">
        <v>2.2524645973355777</v>
      </c>
      <c r="R243" s="41">
        <v>7.9761562681890524E-3</v>
      </c>
      <c r="S243" s="33">
        <v>6.1502916934285043E-2</v>
      </c>
      <c r="T243" s="36">
        <v>60.9</v>
      </c>
      <c r="U243" s="34">
        <v>2.9720791666666666E-2</v>
      </c>
      <c r="V243">
        <v>7.7517500000000004</v>
      </c>
    </row>
    <row r="244" spans="1:22" x14ac:dyDescent="0.2">
      <c r="A244" s="35" t="s">
        <v>37</v>
      </c>
      <c r="B244" s="36">
        <v>2016</v>
      </c>
      <c r="C244" s="8">
        <v>2.3170594645731257</v>
      </c>
      <c r="D244" s="37">
        <v>1.416649588695247</v>
      </c>
      <c r="E244" s="6">
        <v>5.0986967459983193E-3</v>
      </c>
      <c r="F244" s="11">
        <v>1.0024</v>
      </c>
      <c r="G244" s="8">
        <v>928816</v>
      </c>
      <c r="H244" s="38">
        <v>-15.71619132312774</v>
      </c>
      <c r="I244" s="37">
        <v>87276.204592380003</v>
      </c>
      <c r="J244" s="11">
        <v>1.738</v>
      </c>
      <c r="K244" s="11">
        <v>55.389800000000001</v>
      </c>
      <c r="L244" s="38">
        <v>1</v>
      </c>
      <c r="M244" s="8">
        <v>62.661000000000001</v>
      </c>
      <c r="N244" s="8">
        <v>11.500357620425071</v>
      </c>
      <c r="O244" s="8">
        <v>8.1449057592553331E-3</v>
      </c>
      <c r="P244" s="8">
        <v>9.9042044593743994E-2</v>
      </c>
      <c r="Q244" s="8">
        <v>2.9440735362638355</v>
      </c>
      <c r="R244" s="41">
        <v>8.2561618063734851E-3</v>
      </c>
      <c r="S244" s="33">
        <v>3.7088649642907798E-2</v>
      </c>
      <c r="T244" s="36">
        <v>61.6</v>
      </c>
      <c r="U244" s="34">
        <v>9.6016116666666665E-2</v>
      </c>
      <c r="V244">
        <v>7.7622499999999999</v>
      </c>
    </row>
    <row r="245" spans="1:22" x14ac:dyDescent="0.2">
      <c r="A245" s="35" t="s">
        <v>37</v>
      </c>
      <c r="B245" s="36">
        <v>2017</v>
      </c>
      <c r="C245" s="8">
        <v>5.1152248190211136</v>
      </c>
      <c r="D245" s="37">
        <v>0.30208126735137819</v>
      </c>
      <c r="E245" s="6">
        <v>6.7805723493901456E-3</v>
      </c>
      <c r="F245" s="11">
        <v>1.0051000000000001</v>
      </c>
      <c r="G245" s="8">
        <v>1231862</v>
      </c>
      <c r="H245" s="38">
        <v>32.627129592944137</v>
      </c>
      <c r="I245" s="37">
        <v>66270.225151999999</v>
      </c>
      <c r="J245" s="11">
        <v>1.8088</v>
      </c>
      <c r="K245" s="11">
        <v>47.413899999999998</v>
      </c>
      <c r="L245" s="38">
        <v>1</v>
      </c>
      <c r="M245" s="8">
        <v>39.927300000000002</v>
      </c>
      <c r="N245" s="8">
        <v>11.547783085200017</v>
      </c>
      <c r="O245" s="8">
        <v>7.047582540124879E-3</v>
      </c>
      <c r="P245" s="8">
        <v>0.11122601268046586</v>
      </c>
      <c r="Q245" s="8">
        <v>1.3597501463352588</v>
      </c>
      <c r="R245" s="41">
        <v>8.0191610422829952E-3</v>
      </c>
      <c r="S245" s="33">
        <v>6.3619496879427528E-2</v>
      </c>
      <c r="T245" s="36">
        <v>60.7</v>
      </c>
      <c r="U245" s="34">
        <v>8.6409499999999997E-3</v>
      </c>
      <c r="V245">
        <v>7.7932499999999996</v>
      </c>
    </row>
    <row r="246" spans="1:22" x14ac:dyDescent="0.2">
      <c r="A246" s="35" t="s">
        <v>37</v>
      </c>
      <c r="B246" s="36">
        <v>2018</v>
      </c>
      <c r="C246" s="8">
        <v>3.5590668745608385</v>
      </c>
      <c r="D246" s="37">
        <v>0.819751520987545</v>
      </c>
      <c r="E246" s="6">
        <v>5.4164812084028895E-3</v>
      </c>
      <c r="F246" s="11">
        <v>0.97499999999999998</v>
      </c>
      <c r="G246" s="8">
        <v>1147319</v>
      </c>
      <c r="H246" s="38">
        <v>-6.8630252414637356</v>
      </c>
      <c r="I246" s="37">
        <v>44575.939202369998</v>
      </c>
      <c r="J246" s="11">
        <v>1.8531</v>
      </c>
      <c r="K246" s="11">
        <v>50.158200000000001</v>
      </c>
      <c r="L246" s="38">
        <v>1</v>
      </c>
      <c r="M246" s="8">
        <v>39.017099999999999</v>
      </c>
      <c r="N246" s="8">
        <v>11.58225994490237</v>
      </c>
      <c r="O246" s="8">
        <v>4.5548320348269226E-3</v>
      </c>
      <c r="P246" s="8">
        <v>0.10248874569897486</v>
      </c>
      <c r="Q246" s="8">
        <v>1.7264035211960456</v>
      </c>
      <c r="R246" s="41">
        <v>8.1453274995979836E-3</v>
      </c>
      <c r="S246" s="33">
        <v>5.994545160322088E-2</v>
      </c>
      <c r="T246" s="36">
        <v>57.6</v>
      </c>
      <c r="U246" s="34">
        <v>1.4011116666666665E-2</v>
      </c>
      <c r="V246">
        <v>7.8384999999999998</v>
      </c>
    </row>
    <row r="247" spans="1:22" x14ac:dyDescent="0.2">
      <c r="A247" s="35" t="s">
        <v>37</v>
      </c>
      <c r="B247" s="36">
        <v>2019</v>
      </c>
      <c r="C247" s="8">
        <v>1.9848645515527261</v>
      </c>
      <c r="D247" s="37">
        <v>2.5762694092138085</v>
      </c>
      <c r="E247" s="43">
        <v>-1.2302088928808297E-2</v>
      </c>
      <c r="F247" s="11">
        <v>0.94789999999999996</v>
      </c>
      <c r="G247" s="8">
        <v>833133</v>
      </c>
      <c r="H247" s="38">
        <v>-27.384363023710058</v>
      </c>
      <c r="I247" s="37">
        <v>79453.105499170008</v>
      </c>
      <c r="J247" s="11">
        <v>1.9854000000000001</v>
      </c>
      <c r="K247" s="11">
        <v>50.068300000000001</v>
      </c>
      <c r="L247" s="38">
        <v>1</v>
      </c>
      <c r="M247" s="8">
        <v>37.700400000000002</v>
      </c>
      <c r="N247" s="8">
        <v>11.617975502534719</v>
      </c>
      <c r="O247" s="8">
        <v>7.2315832088583401E-3</v>
      </c>
      <c r="P247" s="8">
        <v>0.10939850390839344</v>
      </c>
      <c r="Q247" s="8">
        <v>5.3653777596929091</v>
      </c>
      <c r="R247" s="41">
        <v>8.0481357645263308E-3</v>
      </c>
      <c r="S247" s="33">
        <v>3.714056185031663E-3</v>
      </c>
      <c r="T247" s="36">
        <v>57.9</v>
      </c>
      <c r="U247" s="34">
        <v>4.1567483333333342E-2</v>
      </c>
      <c r="V247">
        <v>7.8359166666666704</v>
      </c>
    </row>
    <row r="248" spans="1:22" x14ac:dyDescent="0.2">
      <c r="A248" s="35" t="s">
        <v>37</v>
      </c>
      <c r="B248" s="36">
        <v>2020</v>
      </c>
      <c r="C248" s="8">
        <v>2.111728902422032</v>
      </c>
      <c r="D248" s="37">
        <v>2.5762694092138085</v>
      </c>
      <c r="E248" s="6">
        <v>-1.2302088928808297E-2</v>
      </c>
      <c r="F248" s="11">
        <v>0.94279999999999997</v>
      </c>
      <c r="G248" s="8">
        <v>739826</v>
      </c>
      <c r="H248" s="38">
        <v>-11.199532367581167</v>
      </c>
      <c r="I248" s="37">
        <v>83380.969089200007</v>
      </c>
      <c r="J248" s="11">
        <v>1.5593999999999999</v>
      </c>
      <c r="K248" s="11">
        <v>50.564100000000003</v>
      </c>
      <c r="L248" s="38">
        <v>1</v>
      </c>
      <c r="M248" s="8">
        <v>40.872300000000003</v>
      </c>
      <c r="N248" s="8">
        <v>11.64451719316137</v>
      </c>
      <c r="O248" s="8">
        <v>9.2425280408783093E-3</v>
      </c>
      <c r="P248" s="8">
        <v>0.1285859666093517</v>
      </c>
      <c r="Q248" s="8">
        <v>2.6019603814419643</v>
      </c>
      <c r="R248" s="41">
        <v>8.0873588100807518E-3</v>
      </c>
      <c r="S248" s="33">
        <v>-4.9938533014777367E-2</v>
      </c>
      <c r="T248" s="36">
        <v>57.5</v>
      </c>
      <c r="U248" s="34">
        <v>0.25270476666666669</v>
      </c>
      <c r="V248">
        <v>7.75725</v>
      </c>
    </row>
    <row r="249" spans="1:22" x14ac:dyDescent="0.2">
      <c r="A249" s="35" t="s">
        <v>37</v>
      </c>
      <c r="B249" s="36">
        <v>2021</v>
      </c>
      <c r="C249" s="8">
        <v>2.7911854209004821</v>
      </c>
      <c r="D249" s="37">
        <v>2.4360455413893205</v>
      </c>
      <c r="E249" s="6">
        <v>-8.0071594205957525E-3</v>
      </c>
      <c r="F249" s="11">
        <v>0.92390000000000005</v>
      </c>
      <c r="G249" s="8">
        <v>703649</v>
      </c>
      <c r="H249" s="38">
        <v>-4.8899335789766782</v>
      </c>
      <c r="I249" s="37">
        <v>76647.610355679994</v>
      </c>
      <c r="J249" s="11">
        <v>1.4753000000000001</v>
      </c>
      <c r="K249" s="11">
        <v>57.2438</v>
      </c>
      <c r="L249" s="38">
        <v>1</v>
      </c>
      <c r="M249" s="8">
        <v>38.006</v>
      </c>
      <c r="N249" s="8">
        <v>11.664612616802708</v>
      </c>
      <c r="O249" s="8">
        <v>7.8112157889512193E-3</v>
      </c>
      <c r="P249" s="8">
        <v>0.13294594072655627</v>
      </c>
      <c r="Q249" s="8">
        <v>1.300397557480756</v>
      </c>
      <c r="R249" s="41">
        <v>8.018838634077782E-3</v>
      </c>
      <c r="S249" s="33">
        <v>6.9484604300285288E-2</v>
      </c>
      <c r="T249" s="36">
        <v>58.8</v>
      </c>
      <c r="U249" s="34">
        <v>0.30359063333333336</v>
      </c>
      <c r="V249">
        <v>7.77325</v>
      </c>
    </row>
    <row r="250" spans="1:22" x14ac:dyDescent="0.2">
      <c r="A250" s="35" t="s">
        <v>37</v>
      </c>
      <c r="B250" s="36">
        <v>2022</v>
      </c>
      <c r="C250" s="8">
        <v>2.3677929889926332</v>
      </c>
      <c r="D250" s="37">
        <v>-18.041800911724419</v>
      </c>
      <c r="E250" s="6">
        <v>0.20000287038014261</v>
      </c>
      <c r="F250" s="11">
        <v>0.92</v>
      </c>
      <c r="G250" s="8">
        <v>617320</v>
      </c>
      <c r="H250" s="38">
        <v>-12.26875899773893</v>
      </c>
      <c r="I250" s="37">
        <v>168492.30622330002</v>
      </c>
      <c r="J250" s="11">
        <v>1.7557</v>
      </c>
      <c r="K250" s="11">
        <v>51.375700000000002</v>
      </c>
      <c r="L250" s="38">
        <v>1</v>
      </c>
      <c r="M250" s="8">
        <v>37.897100000000002</v>
      </c>
      <c r="N250" s="8">
        <v>11.636540613634368</v>
      </c>
      <c r="O250" s="8">
        <v>1.2046372907409725E-2</v>
      </c>
      <c r="P250" s="8">
        <v>0.12684888251578985</v>
      </c>
      <c r="Q250" s="8">
        <v>4.0442222806814705</v>
      </c>
      <c r="R250" s="41">
        <v>8.0725495929211931E-3</v>
      </c>
      <c r="S250" s="33">
        <v>-2.4593410066074222E-2</v>
      </c>
      <c r="T250" s="36">
        <v>62.5</v>
      </c>
      <c r="U250" s="34">
        <v>0.14945029999999998</v>
      </c>
      <c r="V250">
        <v>7.8314166666666702</v>
      </c>
    </row>
    <row r="251" spans="1:22" x14ac:dyDescent="0.2">
      <c r="A251" s="35"/>
      <c r="B251" s="36"/>
      <c r="C251" s="8"/>
      <c r="D251" s="37"/>
      <c r="E251" s="6"/>
      <c r="F251" s="11"/>
      <c r="G251" s="8"/>
      <c r="H251" s="38"/>
      <c r="I251" s="37"/>
      <c r="J251" s="11"/>
      <c r="K251" s="11"/>
      <c r="L251" s="38"/>
      <c r="M251" s="8"/>
      <c r="N251" s="8"/>
      <c r="O251" s="8"/>
      <c r="P251" s="8"/>
      <c r="Q251" s="8"/>
      <c r="R251" s="41"/>
      <c r="S251" s="33"/>
      <c r="T251" s="36"/>
      <c r="U251" s="34"/>
      <c r="V251"/>
    </row>
    <row r="252" spans="1:22" x14ac:dyDescent="0.2">
      <c r="A252" s="35" t="s">
        <v>39</v>
      </c>
      <c r="B252" s="36">
        <v>2014</v>
      </c>
      <c r="C252" s="8">
        <v>2.864177762324903</v>
      </c>
      <c r="D252" s="37">
        <v>-0.85339025077440334</v>
      </c>
      <c r="E252" s="6">
        <v>1.9884554208790716E-2</v>
      </c>
      <c r="F252" s="11">
        <v>1.0446</v>
      </c>
      <c r="G252" s="8">
        <v>1976831</v>
      </c>
      <c r="H252" s="38">
        <v>39.973942936446967</v>
      </c>
      <c r="I252" s="37">
        <v>38795.835105899998</v>
      </c>
      <c r="J252" s="11">
        <v>1.6802999999999999</v>
      </c>
      <c r="K252" s="11">
        <v>42.308399999999999</v>
      </c>
      <c r="L252" s="38">
        <v>1</v>
      </c>
      <c r="M252" s="8">
        <v>117.8648</v>
      </c>
      <c r="N252" s="8">
        <v>12.636087373241471</v>
      </c>
      <c r="O252" s="8">
        <v>3.308103034522311E-3</v>
      </c>
      <c r="P252" s="8">
        <v>0.13138693629263282</v>
      </c>
      <c r="Q252" s="8">
        <v>0.4427826786908553</v>
      </c>
      <c r="R252" s="41">
        <v>6.5839793777386262E-3</v>
      </c>
      <c r="S252" s="33">
        <v>5.7175487891084675E-2</v>
      </c>
      <c r="T252" s="36">
        <v>61.4</v>
      </c>
      <c r="U252" s="34">
        <v>7.7804516666666657E-2</v>
      </c>
      <c r="V252">
        <v>7.7540833333333303</v>
      </c>
    </row>
    <row r="253" spans="1:22" x14ac:dyDescent="0.2">
      <c r="A253" s="35" t="s">
        <v>39</v>
      </c>
      <c r="B253" s="36">
        <v>2015</v>
      </c>
      <c r="C253" s="8">
        <v>2.9128261735444902</v>
      </c>
      <c r="D253" s="37">
        <v>1.556887311074846</v>
      </c>
      <c r="E253" s="6">
        <v>2.6421140340810332E-3</v>
      </c>
      <c r="F253" s="11">
        <v>1.0234000000000001</v>
      </c>
      <c r="G253" s="8">
        <v>2960300</v>
      </c>
      <c r="H253" s="38">
        <v>49.749776283354521</v>
      </c>
      <c r="I253" s="37">
        <v>28070.735794640001</v>
      </c>
      <c r="J253" s="11">
        <v>1.4623999999999999</v>
      </c>
      <c r="K253" s="11">
        <v>45.830500000000001</v>
      </c>
      <c r="L253" s="38">
        <v>1</v>
      </c>
      <c r="M253" s="8">
        <v>93.431399999999996</v>
      </c>
      <c r="N253" s="8">
        <v>12.623744933251173</v>
      </c>
      <c r="O253" s="8">
        <v>3.3901692198326063E-3</v>
      </c>
      <c r="P253" s="8">
        <v>0.10232449029356537</v>
      </c>
      <c r="Q253" s="8">
        <v>0.36469709767312541</v>
      </c>
      <c r="R253" s="41">
        <v>6.6548852288012021E-3</v>
      </c>
      <c r="S253" s="33">
        <v>6.1502916934285043E-2</v>
      </c>
      <c r="T253" s="36">
        <v>60.9</v>
      </c>
      <c r="U253" s="34">
        <v>2.9720791666666666E-2</v>
      </c>
      <c r="V253">
        <v>7.7517500000000004</v>
      </c>
    </row>
    <row r="254" spans="1:22" x14ac:dyDescent="0.2">
      <c r="A254" s="35" t="s">
        <v>39</v>
      </c>
      <c r="B254" s="36">
        <v>2016</v>
      </c>
      <c r="C254" s="8">
        <v>5.6641540241038486</v>
      </c>
      <c r="D254" s="37">
        <v>3.4203027110949553</v>
      </c>
      <c r="E254" s="6">
        <v>-1.8732216227708039E-2</v>
      </c>
      <c r="F254" s="11">
        <v>1.0275000000000001</v>
      </c>
      <c r="G254" s="8">
        <v>3117099</v>
      </c>
      <c r="H254" s="38">
        <v>5.2967266831064421</v>
      </c>
      <c r="I254" s="37">
        <v>29427.037488060003</v>
      </c>
      <c r="J254" s="11">
        <v>1.3440000000000001</v>
      </c>
      <c r="K254" s="11">
        <v>44.235700000000001</v>
      </c>
      <c r="L254" s="38">
        <v>1</v>
      </c>
      <c r="M254" s="8">
        <v>106.2042</v>
      </c>
      <c r="N254" s="8">
        <v>12.734780510595655</v>
      </c>
      <c r="O254" s="8">
        <v>3.4340869089005432E-3</v>
      </c>
      <c r="P254" s="8">
        <v>0.14367791059738969</v>
      </c>
      <c r="Q254" s="8">
        <v>0.41811571506553097</v>
      </c>
      <c r="R254" s="41">
        <v>6.7357699883392698E-3</v>
      </c>
      <c r="S254" s="33">
        <v>3.7088649642907798E-2</v>
      </c>
      <c r="T254" s="36">
        <v>61.6</v>
      </c>
      <c r="U254" s="34">
        <v>9.6016116666666665E-2</v>
      </c>
      <c r="V254">
        <v>7.7622499999999999</v>
      </c>
    </row>
    <row r="255" spans="1:22" x14ac:dyDescent="0.2">
      <c r="A255" s="35" t="s">
        <v>39</v>
      </c>
      <c r="B255" s="36">
        <v>2017</v>
      </c>
      <c r="C255" s="8">
        <v>3.084646220594482</v>
      </c>
      <c r="D255" s="37">
        <v>0.71492119445756386</v>
      </c>
      <c r="E255" s="6">
        <v>4.5199511241051146E-3</v>
      </c>
      <c r="F255" s="11">
        <v>1.0659000000000001</v>
      </c>
      <c r="G255" s="8">
        <v>2975157</v>
      </c>
      <c r="H255" s="38">
        <v>-4.5536571023249506</v>
      </c>
      <c r="I255" s="37">
        <v>26604.859311520002</v>
      </c>
      <c r="J255" s="11">
        <v>1.5747</v>
      </c>
      <c r="K255" s="11">
        <v>47.309899999999999</v>
      </c>
      <c r="L255" s="38">
        <v>1</v>
      </c>
      <c r="M255" s="8">
        <v>140.0549</v>
      </c>
      <c r="N255" s="8">
        <v>12.841105473191869</v>
      </c>
      <c r="O255" s="8">
        <v>4.2098137310748237E-3</v>
      </c>
      <c r="P255" s="8">
        <v>0.21138358187457401</v>
      </c>
      <c r="Q255" s="8">
        <v>0.58718197659535409</v>
      </c>
      <c r="R255" s="41">
        <v>6.7961893468831015E-3</v>
      </c>
      <c r="S255" s="33">
        <v>6.3619496879427528E-2</v>
      </c>
      <c r="T255" s="36">
        <v>60.7</v>
      </c>
      <c r="U255" s="34">
        <v>8.6409499999999997E-3</v>
      </c>
      <c r="V255">
        <v>7.7932499999999996</v>
      </c>
    </row>
    <row r="256" spans="1:22" x14ac:dyDescent="0.2">
      <c r="A256" s="35" t="s">
        <v>39</v>
      </c>
      <c r="B256" s="36">
        <v>2018</v>
      </c>
      <c r="C256" s="8">
        <v>2.8578472073020755</v>
      </c>
      <c r="D256" s="37">
        <v>1.3999183279676473</v>
      </c>
      <c r="E256" s="6">
        <v>-9.3506854318441411E-5</v>
      </c>
      <c r="F256" s="11">
        <v>1.0089999999999999</v>
      </c>
      <c r="G256" s="8">
        <v>3331806</v>
      </c>
      <c r="H256" s="38">
        <v>11.987569059380732</v>
      </c>
      <c r="I256" s="37">
        <v>30419.795514680005</v>
      </c>
      <c r="J256" s="11">
        <v>1.6292</v>
      </c>
      <c r="K256" s="11">
        <v>41.944699999999997</v>
      </c>
      <c r="L256" s="38">
        <v>1</v>
      </c>
      <c r="M256" s="8">
        <v>91.371200000000002</v>
      </c>
      <c r="N256" s="8">
        <v>12.870032520477656</v>
      </c>
      <c r="O256" s="8">
        <v>4.9549400026441866E-3</v>
      </c>
      <c r="P256" s="8">
        <v>0.10961424472632109</v>
      </c>
      <c r="Q256" s="8">
        <v>0.68572507470255206</v>
      </c>
      <c r="R256" s="41">
        <v>7.0672145050793746E-3</v>
      </c>
      <c r="S256" s="33">
        <v>5.994545160322088E-2</v>
      </c>
      <c r="T256" s="36">
        <v>57.6</v>
      </c>
      <c r="U256" s="34">
        <v>1.4011116666666665E-2</v>
      </c>
      <c r="V256">
        <v>7.8384999999999998</v>
      </c>
    </row>
    <row r="257" spans="1:22" x14ac:dyDescent="0.2">
      <c r="A257" s="35" t="s">
        <v>39</v>
      </c>
      <c r="B257" s="36">
        <v>2019</v>
      </c>
      <c r="C257" s="8">
        <v>2.8202352671246458</v>
      </c>
      <c r="D257" s="37">
        <v>0.86318069071511094</v>
      </c>
      <c r="E257" s="6">
        <v>5.0650555730309809E-3</v>
      </c>
      <c r="F257" s="11">
        <v>0.99460000000000004</v>
      </c>
      <c r="G257" s="8">
        <v>3314666</v>
      </c>
      <c r="H257" s="38">
        <v>-0.51443571444435843</v>
      </c>
      <c r="I257" s="37">
        <v>41296.892204969998</v>
      </c>
      <c r="J257" s="11">
        <v>1.5984</v>
      </c>
      <c r="K257" s="11">
        <v>47.605800000000002</v>
      </c>
      <c r="L257" s="38">
        <v>1</v>
      </c>
      <c r="M257" s="8">
        <v>102.2731</v>
      </c>
      <c r="N257" s="8">
        <v>12.967600630335459</v>
      </c>
      <c r="O257" s="8">
        <v>6.0758298452089493E-3</v>
      </c>
      <c r="P257" s="8">
        <v>0.13735286177842757</v>
      </c>
      <c r="Q257" s="8">
        <v>0.42885375745071297</v>
      </c>
      <c r="R257" s="41">
        <v>6.9129580652956971E-3</v>
      </c>
      <c r="S257" s="33">
        <v>3.714056185031663E-3</v>
      </c>
      <c r="T257" s="36">
        <v>57.9</v>
      </c>
      <c r="U257" s="34">
        <v>4.1567483333333342E-2</v>
      </c>
      <c r="V257">
        <v>7.8359166666666704</v>
      </c>
    </row>
    <row r="258" spans="1:22" x14ac:dyDescent="0.2">
      <c r="A258" s="35" t="s">
        <v>39</v>
      </c>
      <c r="B258" s="36">
        <v>2020</v>
      </c>
      <c r="C258" s="8">
        <v>2.2445797148147353</v>
      </c>
      <c r="D258" s="37">
        <v>0.50258857325971884</v>
      </c>
      <c r="E258" s="6">
        <v>1.2138216955132074E-2</v>
      </c>
      <c r="F258" s="11">
        <v>0.98029999999999995</v>
      </c>
      <c r="G258" s="8">
        <v>2746216</v>
      </c>
      <c r="H258" s="38">
        <v>-17.149540858716986</v>
      </c>
      <c r="I258" s="37">
        <v>51525.596074289999</v>
      </c>
      <c r="J258" s="11">
        <v>1.2774000000000001</v>
      </c>
      <c r="K258" s="11">
        <v>50.252499999999998</v>
      </c>
      <c r="L258" s="38">
        <v>1</v>
      </c>
      <c r="M258" s="8">
        <v>149.17349999999999</v>
      </c>
      <c r="N258" s="8">
        <v>13.053534464404022</v>
      </c>
      <c r="O258" s="8">
        <v>6.1484372531743362E-3</v>
      </c>
      <c r="P258" s="8">
        <v>0.14615150682923264</v>
      </c>
      <c r="Q258" s="8">
        <v>0.27463028870375783</v>
      </c>
      <c r="R258" s="41">
        <v>6.8938948540604216E-3</v>
      </c>
      <c r="S258" s="33">
        <v>-4.9938533014777367E-2</v>
      </c>
      <c r="T258" s="36">
        <v>57.5</v>
      </c>
      <c r="U258" s="34">
        <v>0.25270476666666669</v>
      </c>
      <c r="V258">
        <v>7.75725</v>
      </c>
    </row>
    <row r="259" spans="1:22" x14ac:dyDescent="0.2">
      <c r="A259" s="35" t="s">
        <v>39</v>
      </c>
      <c r="B259" s="36">
        <v>2021</v>
      </c>
      <c r="C259" s="8">
        <v>1.819102140136688</v>
      </c>
      <c r="D259" s="37">
        <v>-1.7659439120064713</v>
      </c>
      <c r="E259" s="6">
        <v>3.0241740839424082E-2</v>
      </c>
      <c r="F259" s="11">
        <v>0.9859</v>
      </c>
      <c r="G259" s="8">
        <v>3072376</v>
      </c>
      <c r="H259" s="38">
        <v>11.876705983797342</v>
      </c>
      <c r="I259" s="37">
        <v>55402.416285029998</v>
      </c>
      <c r="J259" s="11">
        <v>1.0713999999999999</v>
      </c>
      <c r="K259" s="11">
        <v>50.324100000000001</v>
      </c>
      <c r="L259" s="38">
        <v>1</v>
      </c>
      <c r="M259" s="8">
        <v>96.509200000000007</v>
      </c>
      <c r="N259" s="8">
        <v>13.065454892988242</v>
      </c>
      <c r="O259" s="8">
        <v>6.9408649919344995E-3</v>
      </c>
      <c r="P259" s="8">
        <v>0.14657459649214111</v>
      </c>
      <c r="Q259" s="8">
        <v>0.68094603016463529</v>
      </c>
      <c r="R259" s="41">
        <v>6.9697472327338071E-3</v>
      </c>
      <c r="S259" s="33">
        <v>6.9484604300285288E-2</v>
      </c>
      <c r="T259" s="36">
        <v>58.8</v>
      </c>
      <c r="U259" s="34">
        <v>0.30359063333333336</v>
      </c>
      <c r="V259">
        <v>7.77325</v>
      </c>
    </row>
    <row r="260" spans="1:22" x14ac:dyDescent="0.2">
      <c r="A260" s="35" t="s">
        <v>39</v>
      </c>
      <c r="B260" s="36">
        <v>2022</v>
      </c>
      <c r="C260" s="8">
        <v>1.9969075055618837</v>
      </c>
      <c r="D260" s="37">
        <v>4.2878366769053144</v>
      </c>
      <c r="E260" s="6">
        <v>-2.5667491403431733E-2</v>
      </c>
      <c r="F260" s="11">
        <v>0.98770000000000002</v>
      </c>
      <c r="G260" s="8">
        <v>3457707</v>
      </c>
      <c r="H260" s="38">
        <v>12.541791759862726</v>
      </c>
      <c r="I260" s="37">
        <v>111802.93935263999</v>
      </c>
      <c r="J260" s="11">
        <v>1.2586999999999999</v>
      </c>
      <c r="K260" s="11">
        <v>45.365099999999998</v>
      </c>
      <c r="L260" s="38">
        <v>1</v>
      </c>
      <c r="M260" s="39"/>
      <c r="N260" s="39"/>
      <c r="O260" s="39"/>
      <c r="P260" s="38"/>
      <c r="Q260" s="39"/>
      <c r="R260" s="44"/>
      <c r="S260" s="33">
        <v>-2.4593410066074222E-2</v>
      </c>
      <c r="T260" s="36">
        <v>62.5</v>
      </c>
      <c r="U260" s="34">
        <v>0.14945029999999998</v>
      </c>
      <c r="V260">
        <v>7.8314166666666702</v>
      </c>
    </row>
    <row r="261" spans="1:22" x14ac:dyDescent="0.2">
      <c r="A261" s="35"/>
      <c r="B261" s="36"/>
      <c r="C261" s="8"/>
      <c r="D261" s="37"/>
      <c r="E261" s="6"/>
      <c r="F261" s="11"/>
      <c r="G261" s="8"/>
      <c r="H261" s="38"/>
      <c r="I261" s="37"/>
      <c r="J261" s="11"/>
      <c r="K261" s="11"/>
      <c r="L261" s="38"/>
      <c r="M261" s="39"/>
      <c r="N261" s="39"/>
      <c r="O261" s="39"/>
      <c r="P261" s="38"/>
      <c r="Q261" s="39"/>
      <c r="R261" s="44"/>
      <c r="S261" s="33"/>
      <c r="T261" s="36"/>
      <c r="U261" s="34"/>
      <c r="V261"/>
    </row>
    <row r="262" spans="1:22" x14ac:dyDescent="0.2">
      <c r="A262" s="35" t="s">
        <v>41</v>
      </c>
      <c r="B262" s="36">
        <v>2014</v>
      </c>
      <c r="C262" s="8">
        <v>9.1841850978084683</v>
      </c>
      <c r="D262" s="37">
        <v>0.73870200985130796</v>
      </c>
      <c r="E262" s="6">
        <v>5.6058682795272045E-4</v>
      </c>
      <c r="F262" s="11">
        <v>1.0304</v>
      </c>
      <c r="G262" s="8">
        <v>1877157</v>
      </c>
      <c r="H262" s="38">
        <v>20.434258467385703</v>
      </c>
      <c r="I262" s="37">
        <v>182593.4682759</v>
      </c>
      <c r="J262" s="11">
        <v>1.7</v>
      </c>
      <c r="K262" s="11">
        <v>44.264499999999998</v>
      </c>
      <c r="L262" s="38">
        <v>1</v>
      </c>
      <c r="M262" s="8">
        <v>131.8535</v>
      </c>
      <c r="N262" s="8">
        <v>12.714856479260838</v>
      </c>
      <c r="O262" s="8">
        <v>1.2774310724238935E-2</v>
      </c>
      <c r="P262" s="8">
        <v>3.5625665920157007E-2</v>
      </c>
      <c r="Q262" s="8">
        <v>0.54513384785824015</v>
      </c>
      <c r="R262" s="41">
        <v>8.8013199932032195E-3</v>
      </c>
      <c r="S262" s="33">
        <v>2.3692393523361884E-2</v>
      </c>
      <c r="T262" s="36">
        <v>86.7</v>
      </c>
      <c r="U262" s="34">
        <v>3.9348241666666665E-2</v>
      </c>
      <c r="V262">
        <v>1.26705</v>
      </c>
    </row>
    <row r="263" spans="1:22" x14ac:dyDescent="0.2">
      <c r="A263" s="35" t="s">
        <v>41</v>
      </c>
      <c r="B263" s="36">
        <v>2015</v>
      </c>
      <c r="C263" s="8">
        <v>9.4753409362519907</v>
      </c>
      <c r="D263" s="37">
        <v>1.8393648584534599</v>
      </c>
      <c r="E263" s="6">
        <v>-6.1981482420151975E-3</v>
      </c>
      <c r="F263" s="11">
        <v>1.0035000000000001</v>
      </c>
      <c r="G263" s="8">
        <v>2069594</v>
      </c>
      <c r="H263" s="38">
        <v>10.251513325736738</v>
      </c>
      <c r="I263" s="37">
        <v>184316.06591964999</v>
      </c>
      <c r="J263" s="11">
        <v>1.7875000000000001</v>
      </c>
      <c r="K263" s="11">
        <v>45.266100000000002</v>
      </c>
      <c r="L263" s="38">
        <v>1</v>
      </c>
      <c r="M263" s="8">
        <v>141.02950000000001</v>
      </c>
      <c r="N263" s="8">
        <v>12.685649422189989</v>
      </c>
      <c r="O263" s="8">
        <v>1.248644856228899E-2</v>
      </c>
      <c r="P263" s="8">
        <v>3.7384147527344778E-2</v>
      </c>
      <c r="Q263" s="8">
        <v>0.480544014776074</v>
      </c>
      <c r="R263" s="41">
        <v>8.9609659299633767E-3</v>
      </c>
      <c r="S263" s="33">
        <v>-2.180320592340327E-2</v>
      </c>
      <c r="T263" s="36">
        <v>87.6</v>
      </c>
      <c r="U263" s="34">
        <v>0.11972595833333333</v>
      </c>
      <c r="V263">
        <v>1.374825</v>
      </c>
    </row>
    <row r="264" spans="1:22" x14ac:dyDescent="0.2">
      <c r="A264" s="35" t="s">
        <v>41</v>
      </c>
      <c r="B264" s="36">
        <v>2016</v>
      </c>
      <c r="C264" s="8">
        <v>8.7326000842210707</v>
      </c>
      <c r="D264" s="37">
        <v>1.4604668792946356</v>
      </c>
      <c r="E264" s="6">
        <v>-1.5682118280355972E-3</v>
      </c>
      <c r="F264" s="11">
        <v>0.99870000000000003</v>
      </c>
      <c r="G264" s="8">
        <v>2070543</v>
      </c>
      <c r="H264" s="38">
        <v>4.5854404293789022E-2</v>
      </c>
      <c r="I264" s="37">
        <v>305225.11059529998</v>
      </c>
      <c r="J264" s="11">
        <v>1.8161</v>
      </c>
      <c r="K264" s="11">
        <v>42.867100000000001</v>
      </c>
      <c r="L264" s="38">
        <v>1</v>
      </c>
      <c r="M264" s="8">
        <v>99.557199999999995</v>
      </c>
      <c r="N264" s="8">
        <v>12.715452657602903</v>
      </c>
      <c r="O264" s="8">
        <v>1.2766236052344558E-2</v>
      </c>
      <c r="P264" s="8">
        <v>6.0483372301820937E-2</v>
      </c>
      <c r="Q264" s="8">
        <v>0.44321480844253874</v>
      </c>
      <c r="R264" s="41">
        <v>8.790286505886636E-3</v>
      </c>
      <c r="S264" s="33">
        <v>3.5816495107943415E-2</v>
      </c>
      <c r="T264" s="36">
        <v>87.2</v>
      </c>
      <c r="U264" s="34">
        <v>0.17217984166666667</v>
      </c>
      <c r="V264">
        <v>1.3815463636363601</v>
      </c>
    </row>
    <row r="265" spans="1:22" x14ac:dyDescent="0.2">
      <c r="A265" s="35" t="s">
        <v>41</v>
      </c>
      <c r="B265" s="36">
        <v>2017</v>
      </c>
      <c r="C265" s="8">
        <v>8.4807224361591711</v>
      </c>
      <c r="D265" s="37">
        <v>1.7728637693495175</v>
      </c>
      <c r="E265" s="6">
        <v>-6.822213173752101E-3</v>
      </c>
      <c r="F265" s="11">
        <v>1.0310999999999999</v>
      </c>
      <c r="G265" s="8">
        <v>1975967</v>
      </c>
      <c r="H265" s="38">
        <v>-4.5676906975609777</v>
      </c>
      <c r="I265" s="37">
        <v>412782.14326170005</v>
      </c>
      <c r="J265" s="11">
        <v>1.7576000000000001</v>
      </c>
      <c r="K265" s="11">
        <v>43.651499999999999</v>
      </c>
      <c r="L265" s="38">
        <v>1</v>
      </c>
      <c r="M265" s="8">
        <v>119.7884</v>
      </c>
      <c r="N265" s="8">
        <v>12.867043374366609</v>
      </c>
      <c r="O265" s="8">
        <v>1.4247838988052531E-2</v>
      </c>
      <c r="P265" s="8">
        <v>4.8260639238384376E-2</v>
      </c>
      <c r="Q265" s="8">
        <v>0.58612716151219668</v>
      </c>
      <c r="R265" s="41">
        <v>8.7724594829008927E-3</v>
      </c>
      <c r="S265" s="33">
        <v>7.5989427416575134E-2</v>
      </c>
      <c r="T265" s="36">
        <v>85</v>
      </c>
      <c r="U265" s="34">
        <v>6.2938825000000004E-2</v>
      </c>
      <c r="V265">
        <v>1.380925</v>
      </c>
    </row>
    <row r="266" spans="1:22" x14ac:dyDescent="0.2">
      <c r="A266" s="35" t="s">
        <v>41</v>
      </c>
      <c r="B266" s="36">
        <v>2018</v>
      </c>
      <c r="C266" s="8">
        <v>9.9084029132352391</v>
      </c>
      <c r="D266" s="37">
        <v>1.5613570571092747</v>
      </c>
      <c r="E266" s="6">
        <v>-1.8010510557063663E-3</v>
      </c>
      <c r="F266" s="11">
        <v>1.0206999999999999</v>
      </c>
      <c r="G266" s="8">
        <v>2063378</v>
      </c>
      <c r="H266" s="38">
        <v>4.4237074809447723</v>
      </c>
      <c r="I266" s="37">
        <v>385242.84916026</v>
      </c>
      <c r="J266" s="11">
        <v>1.8525</v>
      </c>
      <c r="K266" s="11">
        <v>44.1023</v>
      </c>
      <c r="L266" s="38">
        <v>1</v>
      </c>
      <c r="M266" s="8">
        <v>144.27869999999999</v>
      </c>
      <c r="N266" s="8">
        <v>12.909349927664751</v>
      </c>
      <c r="O266" s="8">
        <v>1.3276323241805089E-2</v>
      </c>
      <c r="P266" s="8">
        <v>3.5194167599876154E-2</v>
      </c>
      <c r="Q266" s="8">
        <v>0.72706800195831256</v>
      </c>
      <c r="R266" s="41">
        <v>8.8790891308392714E-3</v>
      </c>
      <c r="S266" s="33">
        <v>9.7871719648500083E-2</v>
      </c>
      <c r="T266" s="36">
        <v>82.5</v>
      </c>
      <c r="U266" s="34">
        <v>3.5942166666666671E-2</v>
      </c>
      <c r="V266">
        <v>1.34884166666667</v>
      </c>
    </row>
    <row r="267" spans="1:22" x14ac:dyDescent="0.2">
      <c r="A267" s="35" t="s">
        <v>41</v>
      </c>
      <c r="B267" s="36">
        <v>2019</v>
      </c>
      <c r="C267" s="8">
        <v>10.664011314033701</v>
      </c>
      <c r="D267" s="37">
        <v>0.95772635189998345</v>
      </c>
      <c r="E267" s="6">
        <v>3.8036423148915863E-4</v>
      </c>
      <c r="F267" s="11">
        <v>1.0261</v>
      </c>
      <c r="G267" s="8">
        <v>2184839</v>
      </c>
      <c r="H267" s="38">
        <v>5.8865123113651494</v>
      </c>
      <c r="I267" s="37">
        <v>401765.96208616003</v>
      </c>
      <c r="J267" s="11">
        <v>1.8887</v>
      </c>
      <c r="K267" s="11">
        <v>43.028100000000002</v>
      </c>
      <c r="L267" s="38">
        <v>1</v>
      </c>
      <c r="M267" s="8">
        <v>163.0128</v>
      </c>
      <c r="N267" s="8">
        <v>12.972867916943216</v>
      </c>
      <c r="O267" s="8">
        <v>1.2534938125659624E-2</v>
      </c>
      <c r="P267" s="8">
        <v>4.6298965704842071E-2</v>
      </c>
      <c r="Q267" s="8">
        <v>0.78699550940249208</v>
      </c>
      <c r="R267" s="41">
        <v>8.9645527668241846E-3</v>
      </c>
      <c r="S267" s="33">
        <v>-8.5168228921264549E-5</v>
      </c>
      <c r="T267" s="36">
        <v>80.3</v>
      </c>
      <c r="U267" s="34">
        <v>1.4968416666666666E-2</v>
      </c>
      <c r="V267">
        <v>1.36415833333333</v>
      </c>
    </row>
    <row r="268" spans="1:22" x14ac:dyDescent="0.2">
      <c r="A268" s="35" t="s">
        <v>41</v>
      </c>
      <c r="B268" s="36">
        <v>2020</v>
      </c>
      <c r="C268" s="8">
        <v>7.444670063804101</v>
      </c>
      <c r="D268" s="37">
        <v>0.74913186856668923</v>
      </c>
      <c r="E268" s="6">
        <v>1.2219202334888548E-2</v>
      </c>
      <c r="F268" s="11">
        <v>1.0142</v>
      </c>
      <c r="G268" s="8">
        <v>2108704</v>
      </c>
      <c r="H268" s="38">
        <v>-3.484696126350729</v>
      </c>
      <c r="I268" s="37">
        <v>458542.49873615999</v>
      </c>
      <c r="J268" s="11">
        <v>1.6234999999999999</v>
      </c>
      <c r="K268" s="11">
        <v>42.2012</v>
      </c>
      <c r="L268" s="38">
        <v>1</v>
      </c>
      <c r="M268" s="8">
        <v>138.10919999999999</v>
      </c>
      <c r="N268" s="8">
        <v>13.106016152236135</v>
      </c>
      <c r="O268" s="8">
        <v>1.7468300913174646E-2</v>
      </c>
      <c r="P268" s="8">
        <v>8.5795110613370182E-2</v>
      </c>
      <c r="Q268" s="8">
        <v>0.58313164764245973</v>
      </c>
      <c r="R268" s="41">
        <v>8.1267083066294838E-3</v>
      </c>
      <c r="S268" s="33">
        <v>-7.5484298497911759E-2</v>
      </c>
      <c r="T268" s="36">
        <v>79.2</v>
      </c>
      <c r="U268" s="34">
        <v>0.14349582499999999</v>
      </c>
      <c r="V268">
        <v>1.37974166666667</v>
      </c>
    </row>
    <row r="269" spans="1:22" x14ac:dyDescent="0.2">
      <c r="A269" s="35" t="s">
        <v>41</v>
      </c>
      <c r="B269" s="36">
        <v>2021</v>
      </c>
      <c r="C269" s="8">
        <v>9.6320935102944407</v>
      </c>
      <c r="D269" s="37">
        <v>1.6388600213635864</v>
      </c>
      <c r="E269" s="6">
        <v>-4.8231970232550129E-3</v>
      </c>
      <c r="F269" s="11">
        <v>1.0383</v>
      </c>
      <c r="G269" s="8">
        <v>2303224</v>
      </c>
      <c r="H269" s="38">
        <v>9.2246232757181659</v>
      </c>
      <c r="I269" s="37">
        <v>392572.64049509005</v>
      </c>
      <c r="J269" s="11">
        <v>1.4486000000000001</v>
      </c>
      <c r="K269" s="11">
        <v>46.299700000000001</v>
      </c>
      <c r="L269" s="38">
        <v>1</v>
      </c>
      <c r="M269" s="8">
        <v>151.4624</v>
      </c>
      <c r="N269" s="8">
        <v>13.140414082549308</v>
      </c>
      <c r="O269" s="8">
        <v>1.464565187832037E-2</v>
      </c>
      <c r="P269" s="8">
        <v>9.1709546937849565E-2</v>
      </c>
      <c r="Q269" s="8">
        <v>0.23060658885556942</v>
      </c>
      <c r="R269" s="41">
        <v>8.2690396571457759E-3</v>
      </c>
      <c r="S269" s="33">
        <v>0.21643660779288709</v>
      </c>
      <c r="T269" s="36">
        <v>81</v>
      </c>
      <c r="U269" s="34">
        <v>0.15038996666666665</v>
      </c>
      <c r="V269">
        <v>1.34348333333333</v>
      </c>
    </row>
    <row r="270" spans="1:22" x14ac:dyDescent="0.2">
      <c r="A270" s="35" t="s">
        <v>41</v>
      </c>
      <c r="B270" s="36">
        <v>2022</v>
      </c>
      <c r="C270" s="8">
        <v>10.68</v>
      </c>
      <c r="D270" s="37">
        <v>7.870162164665194</v>
      </c>
      <c r="E270" s="6">
        <v>-6.7006219930481073E-2</v>
      </c>
      <c r="F270" s="11">
        <v>1.0407999999999999</v>
      </c>
      <c r="G270" s="8">
        <v>2600338</v>
      </c>
      <c r="H270" s="38">
        <v>12.899917680607706</v>
      </c>
      <c r="I270" s="37">
        <v>355417.62031644001</v>
      </c>
      <c r="J270" s="11">
        <v>1.7509999999999999</v>
      </c>
      <c r="K270" s="11">
        <v>42.964500000000001</v>
      </c>
      <c r="L270" s="38">
        <v>1</v>
      </c>
      <c r="M270" s="8">
        <v>159.9453</v>
      </c>
      <c r="N270" s="8">
        <v>13.227023423750799</v>
      </c>
      <c r="O270" s="8">
        <v>1.3716915133601819E-2</v>
      </c>
      <c r="P270" s="8">
        <v>7.9212266333149345E-2</v>
      </c>
      <c r="Q270" s="8">
        <v>0.54343323419997724</v>
      </c>
      <c r="R270" s="41">
        <v>7.9750233717733269E-3</v>
      </c>
      <c r="S270" s="33">
        <v>0.10144372128287374</v>
      </c>
      <c r="T270" s="36">
        <v>80.8</v>
      </c>
      <c r="U270" s="34">
        <v>0.24576475000000006</v>
      </c>
      <c r="V270">
        <v>1.37866666666667</v>
      </c>
    </row>
    <row r="271" spans="1:22" x14ac:dyDescent="0.2">
      <c r="A271" s="35"/>
      <c r="B271" s="36"/>
      <c r="C271" s="8"/>
      <c r="D271" s="37"/>
      <c r="E271" s="6"/>
      <c r="F271" s="11"/>
      <c r="G271" s="8"/>
      <c r="H271" s="38"/>
      <c r="I271" s="37"/>
      <c r="J271" s="11"/>
      <c r="K271" s="11"/>
      <c r="L271" s="38"/>
      <c r="M271" s="8"/>
      <c r="N271" s="8"/>
      <c r="O271" s="8"/>
      <c r="P271" s="8"/>
      <c r="Q271" s="8"/>
      <c r="R271" s="41"/>
      <c r="S271" s="33"/>
      <c r="T271" s="36"/>
      <c r="U271" s="34"/>
      <c r="V271"/>
    </row>
    <row r="272" spans="1:22" x14ac:dyDescent="0.2">
      <c r="A272" s="35" t="s">
        <v>42</v>
      </c>
      <c r="B272" s="36">
        <v>2014</v>
      </c>
      <c r="C272" s="8">
        <v>15.9</v>
      </c>
      <c r="D272" s="37">
        <v>-0.19147552684837874</v>
      </c>
      <c r="E272" s="6">
        <v>9.723000078821235E-3</v>
      </c>
      <c r="F272" s="11">
        <v>1.0298</v>
      </c>
      <c r="G272" s="8">
        <v>1106361</v>
      </c>
      <c r="H272" s="38">
        <v>15.397878039418567</v>
      </c>
      <c r="I272" s="37">
        <v>96558.357213439987</v>
      </c>
      <c r="J272" s="11">
        <v>1.7208000000000001</v>
      </c>
      <c r="K272" s="11">
        <v>39.924999999999997</v>
      </c>
      <c r="L272" s="38">
        <v>1</v>
      </c>
      <c r="M272" s="8">
        <v>144.39519999999999</v>
      </c>
      <c r="N272" s="8">
        <v>12.621094174575948</v>
      </c>
      <c r="O272" s="8">
        <v>1.090167608665121E-2</v>
      </c>
      <c r="P272" s="8">
        <v>8.3577469966283971E-2</v>
      </c>
      <c r="Q272" s="8">
        <v>0.61719752885641443</v>
      </c>
      <c r="R272" s="41">
        <v>8.5460602836576315E-3</v>
      </c>
      <c r="S272" s="33">
        <v>2.3692393523361884E-2</v>
      </c>
      <c r="T272" s="36">
        <v>86.7</v>
      </c>
      <c r="U272" s="34">
        <v>3.9348241666666665E-2</v>
      </c>
      <c r="V272">
        <v>1.26705</v>
      </c>
    </row>
    <row r="273" spans="1:22" x14ac:dyDescent="0.2">
      <c r="A273" s="35" t="s">
        <v>42</v>
      </c>
      <c r="B273" s="36">
        <v>2015</v>
      </c>
      <c r="C273" s="8">
        <v>16.8</v>
      </c>
      <c r="D273" s="37">
        <v>1.0358054232656655</v>
      </c>
      <c r="E273" s="6">
        <v>1.2185561627056707E-3</v>
      </c>
      <c r="F273" s="11">
        <v>1.0067999999999999</v>
      </c>
      <c r="G273" s="8">
        <v>1155220</v>
      </c>
      <c r="H273" s="38">
        <v>4.4161896523829025</v>
      </c>
      <c r="I273" s="37">
        <v>138938.46084186004</v>
      </c>
      <c r="J273" s="11">
        <v>1.7017</v>
      </c>
      <c r="K273" s="11">
        <v>44.040300000000002</v>
      </c>
      <c r="L273" s="38">
        <v>1</v>
      </c>
      <c r="M273" s="8">
        <v>95.728800000000007</v>
      </c>
      <c r="N273" s="8">
        <v>12.525775629098737</v>
      </c>
      <c r="O273" s="8">
        <v>1.1613528693169207E-2</v>
      </c>
      <c r="P273" s="8">
        <v>5.7749629234287586E-2</v>
      </c>
      <c r="Q273" s="8">
        <v>0.73723463003254375</v>
      </c>
      <c r="R273" s="41">
        <v>8.5539728727091272E-3</v>
      </c>
      <c r="S273" s="33">
        <v>-2.180320592340327E-2</v>
      </c>
      <c r="T273" s="36">
        <v>87.6</v>
      </c>
      <c r="U273" s="34">
        <v>0.11972595833333333</v>
      </c>
      <c r="V273">
        <v>1.374825</v>
      </c>
    </row>
    <row r="274" spans="1:22" x14ac:dyDescent="0.2">
      <c r="A274" s="35" t="s">
        <v>42</v>
      </c>
      <c r="B274" s="36">
        <v>2016</v>
      </c>
      <c r="C274" s="8">
        <v>17.100000000000001</v>
      </c>
      <c r="D274" s="37">
        <v>1.160048700092652</v>
      </c>
      <c r="E274" s="6">
        <v>7.0465230209915347E-4</v>
      </c>
      <c r="F274" s="11">
        <v>1.0032000000000001</v>
      </c>
      <c r="G274" s="8">
        <v>1265914</v>
      </c>
      <c r="H274" s="38">
        <v>9.5820709475251462</v>
      </c>
      <c r="I274" s="37">
        <v>192363.10284519999</v>
      </c>
      <c r="J274" s="11">
        <v>1.7017</v>
      </c>
      <c r="K274" s="11">
        <v>46.587800000000001</v>
      </c>
      <c r="L274" s="38">
        <v>1</v>
      </c>
      <c r="M274" s="8">
        <v>77.410200000000003</v>
      </c>
      <c r="N274" s="8">
        <v>12.554274177092516</v>
      </c>
      <c r="O274" s="8">
        <v>1.508957532272719E-2</v>
      </c>
      <c r="P274" s="8">
        <v>3.945238399542364E-2</v>
      </c>
      <c r="Q274" s="8">
        <v>0.85496387749837666</v>
      </c>
      <c r="R274" s="41">
        <v>8.4192711648573559E-3</v>
      </c>
      <c r="S274" s="33">
        <v>3.5816495107943415E-2</v>
      </c>
      <c r="T274" s="36">
        <v>87.2</v>
      </c>
      <c r="U274" s="34">
        <v>0.17217984166666667</v>
      </c>
      <c r="V274">
        <v>1.3815463636363601</v>
      </c>
    </row>
    <row r="275" spans="1:22" x14ac:dyDescent="0.2">
      <c r="A275" s="35" t="s">
        <v>42</v>
      </c>
      <c r="B275" s="36">
        <v>2017</v>
      </c>
      <c r="C275" s="8">
        <v>17.2</v>
      </c>
      <c r="D275" s="37">
        <v>1.6951088148980649</v>
      </c>
      <c r="E275" s="6">
        <v>-8.2018871616494782E-3</v>
      </c>
      <c r="F275" s="11">
        <v>1.0286</v>
      </c>
      <c r="G275" s="8">
        <v>1673976</v>
      </c>
      <c r="H275" s="38">
        <v>32.234575176512777</v>
      </c>
      <c r="I275" s="37">
        <v>255507.97929399999</v>
      </c>
      <c r="J275" s="11">
        <v>1.6726000000000001</v>
      </c>
      <c r="K275" s="11">
        <v>44.045099999999998</v>
      </c>
      <c r="L275" s="38">
        <v>1</v>
      </c>
      <c r="M275" s="8">
        <v>95.0381</v>
      </c>
      <c r="N275" s="8">
        <v>12.732841465914639</v>
      </c>
      <c r="O275" s="8">
        <v>1.3398390931626132E-2</v>
      </c>
      <c r="P275" s="8">
        <v>4.0848524687327019E-2</v>
      </c>
      <c r="Q275" s="8">
        <v>0.7844816360220408</v>
      </c>
      <c r="R275" s="41">
        <v>8.3669164072881393E-3</v>
      </c>
      <c r="S275" s="33">
        <v>7.5989427416575134E-2</v>
      </c>
      <c r="T275" s="36">
        <v>85</v>
      </c>
      <c r="U275" s="34">
        <v>6.2938825000000004E-2</v>
      </c>
      <c r="V275">
        <v>1.380925</v>
      </c>
    </row>
    <row r="276" spans="1:22" x14ac:dyDescent="0.2">
      <c r="A276" s="35" t="s">
        <v>42</v>
      </c>
      <c r="B276" s="36">
        <v>2018</v>
      </c>
      <c r="C276" s="8">
        <v>16.399999999999999</v>
      </c>
      <c r="D276" s="37">
        <v>1.5509407189820239</v>
      </c>
      <c r="E276" s="6">
        <v>-1.9140261736613452E-3</v>
      </c>
      <c r="F276" s="11">
        <v>1.0124</v>
      </c>
      <c r="G276" s="8">
        <v>1908203</v>
      </c>
      <c r="H276" s="38">
        <v>13.99225556399853</v>
      </c>
      <c r="I276" s="37">
        <v>281589.17127583997</v>
      </c>
      <c r="J276" s="11">
        <v>1.7323999999999999</v>
      </c>
      <c r="K276" s="11">
        <v>44.296100000000003</v>
      </c>
      <c r="L276" s="38">
        <v>1</v>
      </c>
      <c r="M276" s="8">
        <v>87.225300000000004</v>
      </c>
      <c r="N276" s="8">
        <v>12.74555842787842</v>
      </c>
      <c r="O276" s="8">
        <v>9.7461344421810505E-3</v>
      </c>
      <c r="P276" s="8">
        <v>3.9020486655136993E-2</v>
      </c>
      <c r="Q276" s="8">
        <v>1.0122075202232235</v>
      </c>
      <c r="R276" s="41">
        <v>8.7235735667015226E-3</v>
      </c>
      <c r="S276" s="33">
        <v>9.7871719648500083E-2</v>
      </c>
      <c r="T276" s="36">
        <v>82.5</v>
      </c>
      <c r="U276" s="34">
        <v>3.5942166666666671E-2</v>
      </c>
      <c r="V276">
        <v>1.34884166666667</v>
      </c>
    </row>
    <row r="277" spans="1:22" x14ac:dyDescent="0.2">
      <c r="A277" s="35" t="s">
        <v>42</v>
      </c>
      <c r="B277" s="36">
        <v>2019</v>
      </c>
      <c r="C277" s="8">
        <v>16.8</v>
      </c>
      <c r="D277" s="37">
        <v>0.54307151699170064</v>
      </c>
      <c r="E277" s="6">
        <v>3.3241829067936022E-3</v>
      </c>
      <c r="F277" s="11">
        <v>1.0024</v>
      </c>
      <c r="G277" s="8">
        <v>1765015</v>
      </c>
      <c r="H277" s="38">
        <v>-7.503813797588621</v>
      </c>
      <c r="I277" s="37">
        <v>285448.18193213997</v>
      </c>
      <c r="J277" s="11">
        <v>1.7975000000000001</v>
      </c>
      <c r="K277" s="11">
        <v>43.621400000000001</v>
      </c>
      <c r="L277" s="38">
        <v>1</v>
      </c>
      <c r="M277" s="8">
        <v>78.043099999999995</v>
      </c>
      <c r="N277" s="8">
        <v>12.80950821647879</v>
      </c>
      <c r="O277" s="8">
        <v>1.0304490036351924E-2</v>
      </c>
      <c r="P277" s="8">
        <v>4.9387723910434472E-2</v>
      </c>
      <c r="Q277" s="8">
        <v>1.1017661357600075</v>
      </c>
      <c r="R277" s="41">
        <v>8.7426957827579713E-3</v>
      </c>
      <c r="S277" s="33">
        <v>-8.5168228921264549E-5</v>
      </c>
      <c r="T277" s="36">
        <v>80.3</v>
      </c>
      <c r="U277" s="34">
        <v>1.4968416666666666E-2</v>
      </c>
      <c r="V277">
        <v>1.36415833333333</v>
      </c>
    </row>
    <row r="278" spans="1:22" x14ac:dyDescent="0.2">
      <c r="A278" s="35" t="s">
        <v>42</v>
      </c>
      <c r="B278" s="36">
        <v>2020</v>
      </c>
      <c r="C278" s="8">
        <v>17.899999999999999</v>
      </c>
      <c r="D278" s="37">
        <v>0.35102333388224816</v>
      </c>
      <c r="E278" s="6">
        <v>1.4220102383154276E-2</v>
      </c>
      <c r="F278" s="11">
        <v>0.99119999999999997</v>
      </c>
      <c r="G278" s="8">
        <v>1782326</v>
      </c>
      <c r="H278" s="38">
        <v>0.98078486585099833</v>
      </c>
      <c r="I278" s="37">
        <v>296468.67740842002</v>
      </c>
      <c r="J278" s="11">
        <v>1.6357999999999999</v>
      </c>
      <c r="K278" s="11">
        <v>45.990699999999997</v>
      </c>
      <c r="L278" s="38">
        <v>1</v>
      </c>
      <c r="M278" s="8">
        <v>66.865300000000005</v>
      </c>
      <c r="N278" s="8">
        <v>12.885647090328209</v>
      </c>
      <c r="O278" s="8">
        <v>1.3852716559920436E-2</v>
      </c>
      <c r="P278" s="8">
        <v>5.5949254218007005E-2</v>
      </c>
      <c r="Q278" s="8">
        <v>0.89417392039500898</v>
      </c>
      <c r="R278" s="41">
        <v>8.4863166759808761E-3</v>
      </c>
      <c r="S278" s="33">
        <v>-7.5484298497911759E-2</v>
      </c>
      <c r="T278" s="36">
        <v>79.2</v>
      </c>
      <c r="U278" s="34">
        <v>0.14349582499999999</v>
      </c>
      <c r="V278">
        <v>1.37974166666667</v>
      </c>
    </row>
    <row r="279" spans="1:22" x14ac:dyDescent="0.2">
      <c r="A279" s="35" t="s">
        <v>42</v>
      </c>
      <c r="B279" s="36">
        <v>2021</v>
      </c>
      <c r="C279" s="8">
        <v>17.600000000000001</v>
      </c>
      <c r="D279" s="37">
        <v>0.99896819268917181</v>
      </c>
      <c r="E279" s="6">
        <v>6.2571096671181219E-4</v>
      </c>
      <c r="F279" s="11">
        <v>0.99729999999999996</v>
      </c>
      <c r="G279" s="8">
        <v>1864340</v>
      </c>
      <c r="H279" s="38">
        <v>4.6015150988090845</v>
      </c>
      <c r="I279" s="37">
        <v>312775.43322298001</v>
      </c>
      <c r="J279" s="11">
        <v>1.5718000000000001</v>
      </c>
      <c r="K279" s="11">
        <v>47.093200000000003</v>
      </c>
      <c r="L279" s="38">
        <v>1</v>
      </c>
      <c r="M279" s="8">
        <v>52.6004</v>
      </c>
      <c r="N279" s="8">
        <v>12.905041006843309</v>
      </c>
      <c r="O279" s="8">
        <v>1.1856438919257155E-2</v>
      </c>
      <c r="P279" s="8">
        <v>5.6445462541854396E-2</v>
      </c>
      <c r="Q279" s="8">
        <v>0.32331135789878779</v>
      </c>
      <c r="R279" s="41">
        <v>8.4614581575816854E-3</v>
      </c>
      <c r="S279" s="33">
        <v>0.21643660779288709</v>
      </c>
      <c r="T279" s="36">
        <v>81</v>
      </c>
      <c r="U279" s="34">
        <v>0.15038996666666665</v>
      </c>
      <c r="V279">
        <v>1.34348333333333</v>
      </c>
    </row>
    <row r="280" spans="1:22" x14ac:dyDescent="0.2">
      <c r="A280" s="35" t="s">
        <v>42</v>
      </c>
      <c r="B280" s="36">
        <v>2022</v>
      </c>
      <c r="C280" s="8">
        <v>17.7</v>
      </c>
      <c r="D280" s="37">
        <v>1.2152455238064934</v>
      </c>
      <c r="E280" s="6">
        <v>-1.1267281506556559E-3</v>
      </c>
      <c r="F280" s="11">
        <v>1.0029999999999999</v>
      </c>
      <c r="G280" s="8">
        <v>1986008</v>
      </c>
      <c r="H280" s="38">
        <v>6.5260628426145439</v>
      </c>
      <c r="I280" s="37">
        <v>252670.21299395998</v>
      </c>
      <c r="J280" s="11">
        <v>1.9454</v>
      </c>
      <c r="K280" s="11">
        <v>45.301900000000003</v>
      </c>
      <c r="L280" s="38">
        <v>1</v>
      </c>
      <c r="M280" s="8">
        <v>58.901000000000003</v>
      </c>
      <c r="N280" s="8">
        <v>12.943690421483614</v>
      </c>
      <c r="O280" s="8">
        <v>1.1909281979230146E-2</v>
      </c>
      <c r="P280" s="8">
        <v>7.1699519248171389E-2</v>
      </c>
      <c r="Q280" s="8">
        <v>0.65458814741187865</v>
      </c>
      <c r="R280" s="41">
        <v>8.4260468072922118E-3</v>
      </c>
      <c r="S280" s="33">
        <v>0.10144372128287374</v>
      </c>
      <c r="T280" s="36">
        <v>80.8</v>
      </c>
      <c r="U280" s="34">
        <v>0.24576475000000006</v>
      </c>
      <c r="V280">
        <v>1.37866666666667</v>
      </c>
    </row>
    <row r="281" spans="1:22" x14ac:dyDescent="0.2">
      <c r="A281" s="35"/>
      <c r="B281" s="36"/>
      <c r="C281" s="8"/>
      <c r="D281" s="37"/>
      <c r="E281" s="6"/>
      <c r="F281" s="11"/>
      <c r="G281" s="8"/>
      <c r="H281" s="38"/>
      <c r="I281" s="37"/>
      <c r="J281" s="11"/>
      <c r="K281" s="11"/>
      <c r="L281" s="38"/>
      <c r="M281" s="8"/>
      <c r="N281" s="8"/>
      <c r="O281" s="8"/>
      <c r="P281" s="8"/>
      <c r="Q281" s="8"/>
      <c r="R281" s="41"/>
      <c r="S281" s="33"/>
      <c r="T281" s="36"/>
      <c r="U281" s="34"/>
      <c r="V281"/>
    </row>
    <row r="282" spans="1:22" x14ac:dyDescent="0.2">
      <c r="A282" s="35" t="s">
        <v>43</v>
      </c>
      <c r="B282" s="36">
        <v>2014</v>
      </c>
      <c r="C282" s="8">
        <v>9.2822017921406879</v>
      </c>
      <c r="D282" s="37">
        <v>1.4074326526756811</v>
      </c>
      <c r="E282" s="6">
        <v>-3.9410950362910443E-3</v>
      </c>
      <c r="F282" s="11">
        <v>1.0388999999999999</v>
      </c>
      <c r="G282" s="8">
        <v>520163</v>
      </c>
      <c r="H282" s="38">
        <v>38.695339163822524</v>
      </c>
      <c r="I282" s="37">
        <v>177993.56317862001</v>
      </c>
      <c r="J282" s="11">
        <v>1.7262999999999999</v>
      </c>
      <c r="K282" s="11">
        <v>43.039000000000001</v>
      </c>
      <c r="L282" s="38">
        <v>1</v>
      </c>
      <c r="M282" s="8">
        <v>111.2803</v>
      </c>
      <c r="N282" s="8">
        <v>12.35255716932955</v>
      </c>
      <c r="O282" s="8">
        <v>1.7257007047909455E-2</v>
      </c>
      <c r="P282" s="8">
        <v>0.12828253107718382</v>
      </c>
      <c r="Q282" s="8">
        <v>0.71594970806438241</v>
      </c>
      <c r="R282" s="41">
        <v>8.5280445918166879E-3</v>
      </c>
      <c r="S282" s="33">
        <v>2.3692393523361884E-2</v>
      </c>
      <c r="T282" s="36">
        <v>86.7</v>
      </c>
      <c r="U282" s="34">
        <v>3.9348241666666665E-2</v>
      </c>
      <c r="V282">
        <v>1.26705</v>
      </c>
    </row>
    <row r="283" spans="1:22" x14ac:dyDescent="0.2">
      <c r="A283" s="35" t="s">
        <v>43</v>
      </c>
      <c r="B283" s="36">
        <v>2015</v>
      </c>
      <c r="C283" s="8">
        <v>8.7531596645356249</v>
      </c>
      <c r="D283" s="37">
        <v>1.6647763266228219</v>
      </c>
      <c r="E283" s="6">
        <v>-4.2492645902138283E-3</v>
      </c>
      <c r="F283" s="11">
        <v>1.0089999999999999</v>
      </c>
      <c r="G283" s="8">
        <v>587768</v>
      </c>
      <c r="H283" s="38">
        <v>12.996887514106156</v>
      </c>
      <c r="I283" s="37">
        <v>203374.65169920001</v>
      </c>
      <c r="J283" s="11">
        <v>1.7838000000000001</v>
      </c>
      <c r="K283" s="11">
        <v>45.742199999999997</v>
      </c>
      <c r="L283" s="38">
        <v>1</v>
      </c>
      <c r="M283" s="8">
        <v>105.7735</v>
      </c>
      <c r="N283" s="8">
        <v>12.314920420823867</v>
      </c>
      <c r="O283" s="8">
        <v>1.8131861988343174E-2</v>
      </c>
      <c r="P283" s="8">
        <v>0.12209946417868987</v>
      </c>
      <c r="Q283" s="8">
        <v>0.76732354990610752</v>
      </c>
      <c r="R283" s="41">
        <v>8.6216190946074699E-3</v>
      </c>
      <c r="S283" s="33">
        <v>-2.180320592340327E-2</v>
      </c>
      <c r="T283" s="36">
        <v>87.6</v>
      </c>
      <c r="U283" s="34">
        <v>0.11972595833333333</v>
      </c>
      <c r="V283">
        <v>1.374825</v>
      </c>
    </row>
    <row r="284" spans="1:22" x14ac:dyDescent="0.2">
      <c r="A284" s="35" t="s">
        <v>43</v>
      </c>
      <c r="B284" s="36">
        <v>2016</v>
      </c>
      <c r="C284" s="8">
        <v>8.0753532801448742</v>
      </c>
      <c r="D284" s="37">
        <v>1.5228329626751445</v>
      </c>
      <c r="E284" s="6">
        <v>-3.0759082274479121E-3</v>
      </c>
      <c r="F284" s="11">
        <v>1.0076000000000001</v>
      </c>
      <c r="G284" s="8">
        <v>725617</v>
      </c>
      <c r="H284" s="38">
        <v>23.452961032244016</v>
      </c>
      <c r="I284" s="37">
        <v>230014.54553766001</v>
      </c>
      <c r="J284" s="11">
        <v>1.7208000000000001</v>
      </c>
      <c r="K284" s="11">
        <v>46.1312</v>
      </c>
      <c r="L284" s="38">
        <v>1</v>
      </c>
      <c r="M284" s="8">
        <v>116.5793</v>
      </c>
      <c r="N284" s="8">
        <v>12.367427945924126</v>
      </c>
      <c r="O284" s="8">
        <v>1.7406606671727623E-2</v>
      </c>
      <c r="P284" s="8">
        <v>7.8295303707440533E-2</v>
      </c>
      <c r="Q284" s="8">
        <v>0.87504794025253896</v>
      </c>
      <c r="R284" s="41">
        <v>8.8385997048849516E-3</v>
      </c>
      <c r="S284" s="33">
        <v>3.5816495107943415E-2</v>
      </c>
      <c r="T284" s="36">
        <v>87.2</v>
      </c>
      <c r="U284" s="34">
        <v>0.17217984166666667</v>
      </c>
      <c r="V284">
        <v>1.3815463636363601</v>
      </c>
    </row>
    <row r="285" spans="1:22" x14ac:dyDescent="0.2">
      <c r="A285" s="35" t="s">
        <v>43</v>
      </c>
      <c r="B285" s="36">
        <v>2017</v>
      </c>
      <c r="C285" s="8">
        <v>8.3298480768356757</v>
      </c>
      <c r="D285" s="37">
        <v>1.2791127321121205</v>
      </c>
      <c r="E285" s="6">
        <v>-3.3650664099205397E-3</v>
      </c>
      <c r="F285" s="11">
        <v>1.0282</v>
      </c>
      <c r="G285" s="8">
        <v>788002</v>
      </c>
      <c r="H285" s="38">
        <v>8.5975108080433618</v>
      </c>
      <c r="I285" s="37">
        <v>315049.38793155999</v>
      </c>
      <c r="J285" s="11">
        <v>1.7781</v>
      </c>
      <c r="K285" s="11">
        <v>44.453800000000001</v>
      </c>
      <c r="L285" s="38">
        <v>1</v>
      </c>
      <c r="M285" s="8">
        <v>100.7685</v>
      </c>
      <c r="N285" s="8">
        <v>12.499812467213379</v>
      </c>
      <c r="O285" s="8">
        <v>1.6167836787991816E-2</v>
      </c>
      <c r="P285" s="8">
        <v>7.8181210449933397E-2</v>
      </c>
      <c r="Q285" s="8">
        <v>0.86620128526232409</v>
      </c>
      <c r="R285" s="41">
        <v>8.6531534842102017E-3</v>
      </c>
      <c r="S285" s="33">
        <v>7.5989427416575134E-2</v>
      </c>
      <c r="T285" s="36">
        <v>85</v>
      </c>
      <c r="U285" s="34">
        <v>6.2938825000000004E-2</v>
      </c>
      <c r="V285">
        <v>1.380925</v>
      </c>
    </row>
    <row r="286" spans="1:22" x14ac:dyDescent="0.2">
      <c r="A286" s="35" t="s">
        <v>43</v>
      </c>
      <c r="B286" s="36">
        <v>2018</v>
      </c>
      <c r="C286" s="8">
        <v>9.0826346539554965</v>
      </c>
      <c r="D286" s="37">
        <v>1.2498589317264377</v>
      </c>
      <c r="E286" s="6">
        <v>7.8602621203519799E-4</v>
      </c>
      <c r="F286" s="11">
        <v>1.014</v>
      </c>
      <c r="G286" s="8">
        <v>754822</v>
      </c>
      <c r="H286" s="38">
        <v>-4.2106492115502245</v>
      </c>
      <c r="I286" s="37">
        <v>293019.69374341995</v>
      </c>
      <c r="J286" s="11">
        <v>1.8269</v>
      </c>
      <c r="K286" s="11">
        <v>43.884900000000002</v>
      </c>
      <c r="L286" s="38">
        <v>1</v>
      </c>
      <c r="M286" s="8">
        <v>119.12350000000001</v>
      </c>
      <c r="N286" s="8">
        <v>12.559310466021891</v>
      </c>
      <c r="O286" s="8">
        <v>1.1766046196110313E-2</v>
      </c>
      <c r="P286" s="8">
        <v>6.8895897207773713E-2</v>
      </c>
      <c r="Q286" s="8">
        <v>1.0425096680739148</v>
      </c>
      <c r="R286" s="41">
        <v>8.9262990589510979E-3</v>
      </c>
      <c r="S286" s="33">
        <v>9.7871719648500083E-2</v>
      </c>
      <c r="T286" s="36">
        <v>82.5</v>
      </c>
      <c r="U286" s="34">
        <v>3.5942166666666671E-2</v>
      </c>
      <c r="V286">
        <v>1.34884166666667</v>
      </c>
    </row>
    <row r="287" spans="1:22" x14ac:dyDescent="0.2">
      <c r="A287" s="35" t="s">
        <v>43</v>
      </c>
      <c r="B287" s="36">
        <v>2019</v>
      </c>
      <c r="C287" s="8">
        <v>9.2667872234152231</v>
      </c>
      <c r="D287" s="37">
        <v>0.99130585617925748</v>
      </c>
      <c r="E287" s="6">
        <v>5.1516494697405604E-5</v>
      </c>
      <c r="F287" s="11">
        <v>1.0167999999999999</v>
      </c>
      <c r="G287" s="8">
        <v>803829</v>
      </c>
      <c r="H287" s="38">
        <v>6.4925240652763172</v>
      </c>
      <c r="I287" s="37">
        <v>307592.33584170003</v>
      </c>
      <c r="J287" s="11">
        <v>1.7948999999999999</v>
      </c>
      <c r="K287" s="11">
        <v>44.440600000000003</v>
      </c>
      <c r="L287" s="38">
        <v>1</v>
      </c>
      <c r="M287" s="8">
        <v>103.2418</v>
      </c>
      <c r="N287" s="8">
        <v>12.614084411484116</v>
      </c>
      <c r="O287" s="8">
        <v>1.1978891983947486E-2</v>
      </c>
      <c r="P287" s="8">
        <v>6.7122178267229132E-2</v>
      </c>
      <c r="Q287" s="8">
        <v>1.1701496193482697</v>
      </c>
      <c r="R287" s="41">
        <v>8.6467258282679604E-3</v>
      </c>
      <c r="S287" s="33">
        <v>-8.5168228921264549E-5</v>
      </c>
      <c r="T287" s="36">
        <v>80.3</v>
      </c>
      <c r="U287" s="34">
        <v>1.4968416666666666E-2</v>
      </c>
      <c r="V287">
        <v>1.36415833333333</v>
      </c>
    </row>
    <row r="288" spans="1:22" x14ac:dyDescent="0.2">
      <c r="A288" s="35" t="s">
        <v>43</v>
      </c>
      <c r="B288" s="36">
        <v>2020</v>
      </c>
      <c r="C288" s="8">
        <v>6.1468523255389185</v>
      </c>
      <c r="D288" s="37">
        <v>1.3202234034806501</v>
      </c>
      <c r="E288" s="6">
        <v>4.8956571702499204E-3</v>
      </c>
      <c r="F288" s="11">
        <v>0.99829999999999997</v>
      </c>
      <c r="G288" s="8">
        <v>657223</v>
      </c>
      <c r="H288" s="38">
        <v>-18.238456189065086</v>
      </c>
      <c r="I288" s="37">
        <v>342071.98502733</v>
      </c>
      <c r="J288" s="11">
        <v>1.5840000000000001</v>
      </c>
      <c r="K288" s="11">
        <v>45.150399999999998</v>
      </c>
      <c r="L288" s="38">
        <v>1</v>
      </c>
      <c r="M288" s="8">
        <v>112.7544</v>
      </c>
      <c r="N288" s="8">
        <v>12.697134118553752</v>
      </c>
      <c r="O288" s="8">
        <v>1.4876308993944617E-2</v>
      </c>
      <c r="P288" s="8">
        <v>9.5970147328426014E-2</v>
      </c>
      <c r="Q288" s="8">
        <v>1.0436300108742025</v>
      </c>
      <c r="R288" s="41">
        <v>8.6687831356409006E-3</v>
      </c>
      <c r="S288" s="33">
        <v>-7.5484298497911759E-2</v>
      </c>
      <c r="T288" s="36">
        <v>79.2</v>
      </c>
      <c r="U288" s="34">
        <v>0.14349582499999999</v>
      </c>
      <c r="V288">
        <v>1.37974166666667</v>
      </c>
    </row>
    <row r="289" spans="1:22" x14ac:dyDescent="0.2">
      <c r="A289" s="35" t="s">
        <v>43</v>
      </c>
      <c r="B289" s="36">
        <v>2021</v>
      </c>
      <c r="C289" s="8">
        <v>7.8181361329460684</v>
      </c>
      <c r="D289" s="37">
        <v>1.6529111639673251</v>
      </c>
      <c r="E289" s="6">
        <v>-6.7406690480628804E-3</v>
      </c>
      <c r="F289" s="11">
        <v>1.0103</v>
      </c>
      <c r="G289" s="8">
        <v>605590</v>
      </c>
      <c r="H289" s="38">
        <v>-7.8562375327704608</v>
      </c>
      <c r="I289" s="37">
        <v>373259.58541912999</v>
      </c>
      <c r="J289" s="11">
        <v>1.5681</v>
      </c>
      <c r="K289" s="11">
        <v>44.345700000000001</v>
      </c>
      <c r="L289" s="38">
        <v>1</v>
      </c>
      <c r="M289" s="8">
        <v>118.042</v>
      </c>
      <c r="N289" s="8">
        <v>12.739183712734281</v>
      </c>
      <c r="O289" s="8">
        <v>1.3149935865144813E-2</v>
      </c>
      <c r="P289" s="8">
        <v>9.0868228238303372E-2</v>
      </c>
      <c r="Q289" s="8">
        <v>0.37684167046732686</v>
      </c>
      <c r="R289" s="41">
        <v>8.8137000365638082E-3</v>
      </c>
      <c r="S289" s="33">
        <v>0.21643660779288709</v>
      </c>
      <c r="T289" s="36">
        <v>81</v>
      </c>
      <c r="U289" s="34">
        <v>0.15038996666666665</v>
      </c>
      <c r="V289">
        <v>1.34348333333333</v>
      </c>
    </row>
    <row r="290" spans="1:22" x14ac:dyDescent="0.2">
      <c r="A290" s="35" t="s">
        <v>43</v>
      </c>
      <c r="B290" s="36">
        <v>2022</v>
      </c>
      <c r="C290" s="8">
        <v>8.033477662671606</v>
      </c>
      <c r="D290" s="37">
        <v>0.65020500474108966</v>
      </c>
      <c r="E290" s="6">
        <v>6.0945717817472564E-3</v>
      </c>
      <c r="F290" s="11">
        <v>1.0215000000000001</v>
      </c>
      <c r="G290" s="8">
        <v>832348</v>
      </c>
      <c r="H290" s="38">
        <v>37.444145378886709</v>
      </c>
      <c r="I290" s="37">
        <v>377912.55415725004</v>
      </c>
      <c r="J290" s="11">
        <v>1.8694</v>
      </c>
      <c r="K290" s="11">
        <v>46.194400000000002</v>
      </c>
      <c r="L290" s="38">
        <v>1</v>
      </c>
      <c r="M290" s="8">
        <v>151.16730000000001</v>
      </c>
      <c r="N290" s="8">
        <v>12.838924220376326</v>
      </c>
      <c r="O290" s="8">
        <v>1.3476692796861641E-2</v>
      </c>
      <c r="P290" s="8">
        <v>0.11488485106513385</v>
      </c>
      <c r="Q290" s="8">
        <v>0.79447958601911561</v>
      </c>
      <c r="R290" s="41">
        <v>8.6734597564977201E-3</v>
      </c>
      <c r="S290" s="33">
        <v>0.10144372128287374</v>
      </c>
      <c r="T290" s="36">
        <v>80.8</v>
      </c>
      <c r="U290" s="34">
        <v>0.24576475000000006</v>
      </c>
      <c r="V290">
        <v>1.37866666666667</v>
      </c>
    </row>
    <row r="291" spans="1:22" x14ac:dyDescent="0.2">
      <c r="A291" s="35"/>
      <c r="B291" s="36"/>
      <c r="C291" s="8"/>
      <c r="D291" s="37"/>
      <c r="E291" s="6"/>
      <c r="F291" s="11"/>
      <c r="G291" s="8"/>
      <c r="H291" s="38"/>
      <c r="I291" s="37"/>
      <c r="J291" s="11"/>
      <c r="K291" s="11"/>
      <c r="L291" s="38"/>
      <c r="M291" s="8"/>
      <c r="N291" s="8"/>
      <c r="O291" s="8"/>
      <c r="P291" s="8"/>
      <c r="Q291" s="8"/>
      <c r="R291" s="41"/>
      <c r="S291" s="33"/>
      <c r="T291" s="36"/>
      <c r="U291" s="34"/>
      <c r="V291"/>
    </row>
    <row r="292" spans="1:22" x14ac:dyDescent="0.2">
      <c r="A292" s="35" t="s">
        <v>47</v>
      </c>
      <c r="B292" s="36">
        <v>2014</v>
      </c>
      <c r="C292" s="12">
        <v>5.637476653115912</v>
      </c>
      <c r="D292" s="37">
        <v>1.5977405878852025</v>
      </c>
      <c r="E292" s="6">
        <v>-2.3249937854800452E-3</v>
      </c>
      <c r="F292" s="11">
        <v>1.4161999999999999</v>
      </c>
      <c r="G292" s="8">
        <v>94.571590694155475</v>
      </c>
      <c r="H292" s="38">
        <v>-38.46541832166951</v>
      </c>
      <c r="I292" s="37">
        <v>6.90151644</v>
      </c>
      <c r="J292" s="11">
        <v>-0.92889999999999995</v>
      </c>
      <c r="K292" s="11">
        <v>59.101300000000002</v>
      </c>
      <c r="L292" s="38">
        <v>1</v>
      </c>
      <c r="M292" s="8">
        <v>88.652500000000003</v>
      </c>
      <c r="N292" s="8">
        <v>8.9448569560094722</v>
      </c>
      <c r="O292" s="8">
        <v>1.0652063947674898E-2</v>
      </c>
      <c r="P292" s="8">
        <v>0.62278604791503678</v>
      </c>
      <c r="Q292" s="8">
        <v>5.0407900050006345E-2</v>
      </c>
      <c r="R292" s="41">
        <v>1.1992765973864515E-4</v>
      </c>
      <c r="S292" s="33">
        <v>-6.0497682581134235E-2</v>
      </c>
      <c r="T292" s="36">
        <v>43</v>
      </c>
      <c r="U292" s="34">
        <v>0.10612881666666664</v>
      </c>
      <c r="V292">
        <v>105.944781034025</v>
      </c>
    </row>
    <row r="293" spans="1:22" x14ac:dyDescent="0.2">
      <c r="A293" s="35" t="s">
        <v>47</v>
      </c>
      <c r="B293" s="36">
        <v>2015</v>
      </c>
      <c r="C293" s="12">
        <v>5.9835577278251861</v>
      </c>
      <c r="D293" s="37">
        <v>0.5453505699692387</v>
      </c>
      <c r="E293" s="6">
        <v>1.1801047482243483E-2</v>
      </c>
      <c r="F293" s="11">
        <v>1.6263000000000001</v>
      </c>
      <c r="G293" s="8">
        <v>82.610491532424618</v>
      </c>
      <c r="H293" s="38">
        <v>-12.64766625361421</v>
      </c>
      <c r="I293" s="37">
        <v>29.273043060000003</v>
      </c>
      <c r="J293" s="11">
        <v>0.11219999999999999</v>
      </c>
      <c r="K293" s="11">
        <v>60.4131</v>
      </c>
      <c r="L293" s="38">
        <v>1</v>
      </c>
      <c r="M293" s="8">
        <v>74.165599999999998</v>
      </c>
      <c r="N293" s="8">
        <v>8.8734353657237008</v>
      </c>
      <c r="O293" s="8">
        <v>4.4206065971357702E-3</v>
      </c>
      <c r="P293" s="8">
        <v>0.69522240869443996</v>
      </c>
      <c r="Q293" s="8">
        <v>3.3800244864258616E-2</v>
      </c>
      <c r="R293" s="41">
        <v>2.0721954025871339E-4</v>
      </c>
      <c r="S293" s="33">
        <v>-9.2314533358446485E-2</v>
      </c>
      <c r="T293" s="36">
        <v>44.8</v>
      </c>
      <c r="U293" s="34">
        <v>0.16251885833333332</v>
      </c>
      <c r="V293">
        <v>121.044025684011</v>
      </c>
    </row>
    <row r="294" spans="1:22" x14ac:dyDescent="0.2">
      <c r="A294" s="35" t="s">
        <v>47</v>
      </c>
      <c r="B294" s="36">
        <v>2016</v>
      </c>
      <c r="C294" s="12">
        <v>5.9308309534787407</v>
      </c>
      <c r="D294" s="37">
        <v>0.4923718616233424</v>
      </c>
      <c r="E294" s="6">
        <v>1.7867685222261228E-2</v>
      </c>
      <c r="F294" s="11">
        <v>1.4227000000000001</v>
      </c>
      <c r="G294" s="8">
        <v>92.004784248780936</v>
      </c>
      <c r="H294" s="38">
        <v>11.371791333149323</v>
      </c>
      <c r="I294" s="37">
        <v>36.615400199999996</v>
      </c>
      <c r="J294" s="11">
        <v>1.0065999999999999</v>
      </c>
      <c r="K294" s="11">
        <v>61.6721</v>
      </c>
      <c r="L294" s="38">
        <v>1</v>
      </c>
      <c r="M294" s="8">
        <v>67.681899999999999</v>
      </c>
      <c r="N294" s="8">
        <v>9.0041468046059077</v>
      </c>
      <c r="O294" s="8">
        <v>4.0105198058458637E-3</v>
      </c>
      <c r="P294" s="8">
        <v>0.73026877997495931</v>
      </c>
      <c r="Q294" s="8">
        <v>3.3656154799401039E-2</v>
      </c>
      <c r="R294" s="41">
        <v>2.9588462851177588E-4</v>
      </c>
      <c r="S294" s="33">
        <v>0.12570431786897612</v>
      </c>
      <c r="T294" s="36">
        <v>44.6</v>
      </c>
      <c r="U294" s="34">
        <v>0.17348815833333334</v>
      </c>
      <c r="V294">
        <v>108.79290004683401</v>
      </c>
    </row>
    <row r="295" spans="1:22" x14ac:dyDescent="0.2">
      <c r="A295" s="35" t="s">
        <v>47</v>
      </c>
      <c r="B295" s="36">
        <v>2017</v>
      </c>
      <c r="C295" s="12">
        <v>5.7275943576779413</v>
      </c>
      <c r="D295" s="37">
        <v>16.769209570556384</v>
      </c>
      <c r="E295" s="6">
        <v>-0.1555455723248734</v>
      </c>
      <c r="F295" s="11">
        <v>1.2450000000000001</v>
      </c>
      <c r="G295" s="8">
        <v>89.166295140436915</v>
      </c>
      <c r="H295" s="38">
        <v>-3.0851538118591164</v>
      </c>
      <c r="I295" s="37">
        <v>58.512133400000003</v>
      </c>
      <c r="J295" s="11">
        <v>1.8425</v>
      </c>
      <c r="K295" s="11">
        <v>62.392000000000003</v>
      </c>
      <c r="L295" s="38">
        <v>1</v>
      </c>
      <c r="M295" s="8">
        <v>65.337699999999998</v>
      </c>
      <c r="N295" s="8">
        <v>9.0600668080787159</v>
      </c>
      <c r="O295" s="8">
        <v>1.5128372237668693E-3</v>
      </c>
      <c r="P295" s="8">
        <v>0.71976541969881302</v>
      </c>
      <c r="Q295" s="8">
        <v>2.5958855462911375E-2</v>
      </c>
      <c r="R295" s="41">
        <v>3.4647276802735234E-4</v>
      </c>
      <c r="S295" s="33">
        <v>-1.4557344380430779E-2</v>
      </c>
      <c r="T295" s="36">
        <v>44</v>
      </c>
      <c r="U295" s="34">
        <v>6.9751091666666667E-2</v>
      </c>
      <c r="V295">
        <v>112.166141081871</v>
      </c>
    </row>
    <row r="296" spans="1:22" x14ac:dyDescent="0.2">
      <c r="A296" s="35" t="s">
        <v>47</v>
      </c>
      <c r="B296" s="36">
        <v>2018</v>
      </c>
      <c r="C296" s="12">
        <v>5.4766457028416466</v>
      </c>
      <c r="D296" s="37">
        <v>1.1025429908554223</v>
      </c>
      <c r="E296" s="6">
        <v>3.1620232009490355E-3</v>
      </c>
      <c r="F296" s="11">
        <v>1.1874</v>
      </c>
      <c r="G296" s="8">
        <v>100.64346565162225</v>
      </c>
      <c r="H296" s="38">
        <v>12.871646728294353</v>
      </c>
      <c r="I296" s="37">
        <v>40.429646040000002</v>
      </c>
      <c r="J296" s="11">
        <v>2.9327999999999999</v>
      </c>
      <c r="K296" s="11">
        <v>61.7879</v>
      </c>
      <c r="L296" s="38">
        <v>1</v>
      </c>
      <c r="M296" s="8">
        <v>49.539900000000003</v>
      </c>
      <c r="N296" s="8">
        <v>9.1722340824221842</v>
      </c>
      <c r="O296" s="8">
        <v>1.5847660447625095E-3</v>
      </c>
      <c r="P296" s="8">
        <v>0.66880632638685411</v>
      </c>
      <c r="Q296" s="8">
        <v>1.8717145935315E-2</v>
      </c>
      <c r="R296" s="41">
        <v>3.6448641004763064E-4</v>
      </c>
      <c r="S296" s="33">
        <v>2.2317420335519114E-2</v>
      </c>
      <c r="T296" s="36">
        <v>45.2</v>
      </c>
      <c r="U296" s="34">
        <v>9.823383333333334E-2</v>
      </c>
      <c r="V296">
        <v>110.42317934106001</v>
      </c>
    </row>
    <row r="297" spans="1:22" x14ac:dyDescent="0.2">
      <c r="A297" s="35" t="s">
        <v>47</v>
      </c>
      <c r="B297" s="36">
        <v>2019</v>
      </c>
      <c r="C297" s="12">
        <v>2.7942228323471547</v>
      </c>
      <c r="D297" s="37">
        <v>0.93746128488268687</v>
      </c>
      <c r="E297" s="6">
        <v>4.9771383792414281E-3</v>
      </c>
      <c r="F297" s="11">
        <v>1.1548</v>
      </c>
      <c r="G297" s="8">
        <v>98.899183561141172</v>
      </c>
      <c r="H297" s="38">
        <v>-1.7331299942699889</v>
      </c>
      <c r="I297" s="37">
        <v>29.896049539999996</v>
      </c>
      <c r="J297" s="11">
        <v>3.0211000000000001</v>
      </c>
      <c r="K297" s="11">
        <v>62.043199999999999</v>
      </c>
      <c r="L297" s="38">
        <v>1</v>
      </c>
      <c r="M297" s="8">
        <v>68.111699999999999</v>
      </c>
      <c r="N297" s="8">
        <v>9.2407708912493884</v>
      </c>
      <c r="O297" s="8">
        <v>1.0135689344050996E-3</v>
      </c>
      <c r="P297" s="8">
        <v>0.69466308035992008</v>
      </c>
      <c r="Q297" s="8">
        <v>1.6848509898387248E-2</v>
      </c>
      <c r="R297" s="41">
        <v>3.3390508927509774E-4</v>
      </c>
      <c r="S297" s="33">
        <v>1.5297507443604967E-2</v>
      </c>
      <c r="T297" s="36">
        <v>45.2</v>
      </c>
      <c r="U297" s="34">
        <v>0.16861495833333337</v>
      </c>
      <c r="V297">
        <v>109.009665900863</v>
      </c>
    </row>
    <row r="298" spans="1:22" x14ac:dyDescent="0.2">
      <c r="A298" s="35" t="s">
        <v>47</v>
      </c>
      <c r="B298" s="36">
        <v>2020</v>
      </c>
      <c r="C298" s="12">
        <v>5.0628128605878056</v>
      </c>
      <c r="D298" s="37">
        <v>1.0742229642056231</v>
      </c>
      <c r="E298" s="6">
        <v>4.773246948499137E-3</v>
      </c>
      <c r="F298" s="11">
        <v>1.0988</v>
      </c>
      <c r="G298" s="8">
        <v>2.8849756463094791</v>
      </c>
      <c r="H298" s="38">
        <v>-97.08291257578891</v>
      </c>
      <c r="I298" s="37">
        <v>36.270050040000001</v>
      </c>
      <c r="J298" s="11">
        <v>2.9599000000000002</v>
      </c>
      <c r="K298" s="11">
        <v>62.963500000000003</v>
      </c>
      <c r="L298" s="38">
        <v>1</v>
      </c>
      <c r="M298" s="8">
        <v>47.208399999999997</v>
      </c>
      <c r="N298" s="8">
        <v>9.2178137664665378</v>
      </c>
      <c r="O298" s="8">
        <v>1.07395772865347E-3</v>
      </c>
      <c r="P298" s="8">
        <v>0.7888056041294641</v>
      </c>
      <c r="Q298" s="8">
        <v>1.6867528397920429E-2</v>
      </c>
      <c r="R298" s="41">
        <v>3.4011612875541514E-4</v>
      </c>
      <c r="S298" s="33">
        <v>-1.3521754698139338E-2</v>
      </c>
      <c r="T298" s="36">
        <v>45.4</v>
      </c>
      <c r="U298" s="34">
        <v>0.19133301666666666</v>
      </c>
      <c r="V298">
        <v>106.77458226243699</v>
      </c>
    </row>
    <row r="299" spans="1:22" x14ac:dyDescent="0.2">
      <c r="A299" s="35" t="s">
        <v>47</v>
      </c>
      <c r="B299" s="36">
        <v>2021</v>
      </c>
      <c r="C299" s="12">
        <v>4.8872116906795764</v>
      </c>
      <c r="D299" s="37">
        <v>-4.5852534047770375</v>
      </c>
      <c r="E299" s="6">
        <v>5.9309896535008663E-2</v>
      </c>
      <c r="F299" s="11">
        <v>1.0536000000000001</v>
      </c>
      <c r="G299" s="8">
        <v>0</v>
      </c>
      <c r="H299" s="38">
        <v>-100</v>
      </c>
      <c r="I299" s="37">
        <v>41.12829224</v>
      </c>
      <c r="J299" s="11">
        <v>3.1818</v>
      </c>
      <c r="K299" s="11">
        <v>64.777500000000003</v>
      </c>
      <c r="L299" s="38">
        <v>1</v>
      </c>
      <c r="M299" s="8">
        <v>44.994399999999999</v>
      </c>
      <c r="N299" s="8">
        <v>9.2894504725992295</v>
      </c>
      <c r="O299" s="8">
        <v>3.6171363882283943E-3</v>
      </c>
      <c r="P299" s="8">
        <v>0.78896868911849838</v>
      </c>
      <c r="Q299" s="8">
        <v>1.5122884591189262E-2</v>
      </c>
      <c r="R299" s="41">
        <v>3.1055330505242752E-4</v>
      </c>
      <c r="S299" s="33">
        <v>-8.566975901496245E-3</v>
      </c>
      <c r="T299" s="36">
        <v>45.6</v>
      </c>
      <c r="U299" s="34">
        <v>8.6284741666666664E-2</v>
      </c>
      <c r="V299">
        <v>109.754323839417</v>
      </c>
    </row>
    <row r="300" spans="1:22" x14ac:dyDescent="0.2">
      <c r="A300" s="35" t="s">
        <v>47</v>
      </c>
      <c r="B300" s="36">
        <v>2022</v>
      </c>
      <c r="C300" s="12">
        <v>3.8099857734271736</v>
      </c>
      <c r="D300" s="37">
        <v>0.43435688749948059</v>
      </c>
      <c r="E300" s="6">
        <v>9.584115566471112E-3</v>
      </c>
      <c r="F300" s="11">
        <v>1.0314000000000001</v>
      </c>
      <c r="G300" s="8">
        <v>0</v>
      </c>
      <c r="H300" s="38">
        <v>0</v>
      </c>
      <c r="I300" s="37">
        <v>34.878266369999999</v>
      </c>
      <c r="J300" s="11">
        <v>3.157</v>
      </c>
      <c r="K300" s="11">
        <v>71.399199999999993</v>
      </c>
      <c r="L300" s="38">
        <v>1</v>
      </c>
      <c r="M300" s="8">
        <v>43.805900000000001</v>
      </c>
      <c r="N300" s="8">
        <v>9.2152828875979491</v>
      </c>
      <c r="O300" s="8">
        <v>1.7964069261818476E-2</v>
      </c>
      <c r="P300" s="8">
        <v>0.70479990786562818</v>
      </c>
      <c r="Q300" s="8">
        <v>2.126915537335965E-2</v>
      </c>
      <c r="R300" s="41">
        <v>3.5483069538384972E-4</v>
      </c>
      <c r="S300" s="33">
        <v>-0.15470779172132842</v>
      </c>
      <c r="T300" s="36">
        <v>46.3</v>
      </c>
      <c r="U300" s="34">
        <v>0.19251043333333331</v>
      </c>
      <c r="V300">
        <v>131.49814044376399</v>
      </c>
    </row>
    <row r="301" spans="1:22" x14ac:dyDescent="0.2">
      <c r="A301" s="35"/>
      <c r="B301" s="36"/>
      <c r="C301" s="12"/>
      <c r="D301" s="37"/>
      <c r="E301" s="6"/>
      <c r="F301" s="11"/>
      <c r="G301" s="8"/>
      <c r="H301" s="38"/>
      <c r="I301" s="37"/>
      <c r="J301" s="11"/>
      <c r="K301" s="11"/>
      <c r="L301" s="38"/>
      <c r="M301" s="8"/>
      <c r="N301" s="8"/>
      <c r="O301" s="8"/>
      <c r="P301" s="8"/>
      <c r="Q301" s="8"/>
      <c r="R301" s="41"/>
      <c r="S301" s="33"/>
      <c r="T301" s="36"/>
      <c r="U301" s="34"/>
      <c r="V301"/>
    </row>
    <row r="302" spans="1:22" x14ac:dyDescent="0.2">
      <c r="A302" s="35" t="s">
        <v>48</v>
      </c>
      <c r="B302" s="36">
        <v>2014</v>
      </c>
      <c r="C302" s="12">
        <v>3.4135137585843704</v>
      </c>
      <c r="D302" s="37">
        <v>0.58147928707026919</v>
      </c>
      <c r="E302" s="6">
        <v>9.7329674319812046E-3</v>
      </c>
      <c r="F302" s="11">
        <v>0.99709999999999999</v>
      </c>
      <c r="G302" s="8">
        <v>602177</v>
      </c>
      <c r="H302" s="38">
        <v>-16.666043921523041</v>
      </c>
      <c r="I302" s="37">
        <v>627425.76405560004</v>
      </c>
      <c r="J302" s="11">
        <v>1.1526000000000001</v>
      </c>
      <c r="K302" s="11">
        <v>59.954799999999999</v>
      </c>
      <c r="L302" s="38">
        <v>1</v>
      </c>
      <c r="M302" s="8">
        <v>156.57839999999999</v>
      </c>
      <c r="N302" s="8">
        <v>12.980510361057098</v>
      </c>
      <c r="O302" s="8">
        <v>9.5685340746238159E-3</v>
      </c>
      <c r="P302" s="8">
        <v>0.14142572266467643</v>
      </c>
      <c r="Q302" s="8">
        <v>0.13715426918714221</v>
      </c>
      <c r="R302" s="41">
        <v>7.1027692685663316E-3</v>
      </c>
      <c r="S302" s="33">
        <v>-6.0497682581134235E-2</v>
      </c>
      <c r="T302" s="36">
        <v>43</v>
      </c>
      <c r="U302" s="34">
        <v>0.10612881666666664</v>
      </c>
      <c r="V302">
        <v>105.944781034025</v>
      </c>
    </row>
    <row r="303" spans="1:22" x14ac:dyDescent="0.2">
      <c r="A303" s="35" t="s">
        <v>48</v>
      </c>
      <c r="B303" s="36">
        <v>2015</v>
      </c>
      <c r="C303" s="12">
        <v>3.1826326038853012</v>
      </c>
      <c r="D303" s="37">
        <v>-0.21637422996151007</v>
      </c>
      <c r="E303" s="6">
        <v>1.8669396515094489E-2</v>
      </c>
      <c r="F303" s="11">
        <v>0.99509999999999998</v>
      </c>
      <c r="G303" s="8">
        <v>388938</v>
      </c>
      <c r="H303" s="38">
        <v>-35.411349154816605</v>
      </c>
      <c r="I303" s="37">
        <v>483537.08561850007</v>
      </c>
      <c r="J303" s="11">
        <v>1.1825000000000001</v>
      </c>
      <c r="K303" s="11">
        <v>58.766399999999997</v>
      </c>
      <c r="L303" s="38">
        <v>1</v>
      </c>
      <c r="M303" s="8">
        <v>156.37459999999999</v>
      </c>
      <c r="N303" s="8">
        <v>12.869747763434088</v>
      </c>
      <c r="O303" s="8">
        <v>7.5976168901448222E-3</v>
      </c>
      <c r="P303" s="8">
        <v>0.2024263658594031</v>
      </c>
      <c r="Q303" s="8">
        <v>0.12199423438538994</v>
      </c>
      <c r="R303" s="41">
        <v>7.1016322694560713E-3</v>
      </c>
      <c r="S303" s="33">
        <v>-9.2314533358446485E-2</v>
      </c>
      <c r="T303" s="36">
        <v>44.8</v>
      </c>
      <c r="U303" s="34">
        <v>0.16251885833333332</v>
      </c>
      <c r="V303">
        <v>121.044025684011</v>
      </c>
    </row>
    <row r="304" spans="1:22" x14ac:dyDescent="0.2">
      <c r="A304" s="35" t="s">
        <v>48</v>
      </c>
      <c r="B304" s="36">
        <v>2016</v>
      </c>
      <c r="C304" s="12">
        <v>2.6339497518757247</v>
      </c>
      <c r="D304" s="37">
        <v>1.482419252024616</v>
      </c>
      <c r="E304" s="6">
        <v>1.0606488423719756E-2</v>
      </c>
      <c r="F304" s="11">
        <v>0.98560000000000003</v>
      </c>
      <c r="G304" s="8">
        <v>434992</v>
      </c>
      <c r="H304" s="38">
        <v>11.840961798538585</v>
      </c>
      <c r="I304" s="37">
        <v>500565.62166786002</v>
      </c>
      <c r="J304" s="11">
        <v>0.93210000000000004</v>
      </c>
      <c r="K304" s="11">
        <v>61.719700000000003</v>
      </c>
      <c r="L304" s="38">
        <v>1</v>
      </c>
      <c r="M304" s="8">
        <v>137.3888</v>
      </c>
      <c r="N304" s="8">
        <v>12.986954617227626</v>
      </c>
      <c r="O304" s="8">
        <v>7.2864442100973488E-3</v>
      </c>
      <c r="P304" s="8">
        <v>0.27130199862209126</v>
      </c>
      <c r="Q304" s="8">
        <v>0.16764134132821351</v>
      </c>
      <c r="R304" s="41">
        <v>7.0082161648861163E-3</v>
      </c>
      <c r="S304" s="33">
        <v>0.12570431786897612</v>
      </c>
      <c r="T304" s="36">
        <v>44.6</v>
      </c>
      <c r="U304" s="34">
        <v>0.17348815833333334</v>
      </c>
      <c r="V304">
        <v>108.79290004683401</v>
      </c>
    </row>
    <row r="305" spans="1:22" x14ac:dyDescent="0.2">
      <c r="A305" s="35" t="s">
        <v>48</v>
      </c>
      <c r="B305" s="36">
        <v>2017</v>
      </c>
      <c r="C305" s="12">
        <v>2.3199085298477091</v>
      </c>
      <c r="D305" s="37">
        <v>-0.10413729640242612</v>
      </c>
      <c r="E305" s="6">
        <v>1.594353204407388E-2</v>
      </c>
      <c r="F305" s="11">
        <v>0.9909</v>
      </c>
      <c r="G305" s="8">
        <v>377793</v>
      </c>
      <c r="H305" s="38">
        <v>-13.149437231029538</v>
      </c>
      <c r="I305" s="37">
        <v>460357.20640125003</v>
      </c>
      <c r="J305" s="11">
        <v>0.88959999999999995</v>
      </c>
      <c r="K305" s="11">
        <v>67.949799999999996</v>
      </c>
      <c r="L305" s="38">
        <v>1</v>
      </c>
      <c r="M305" s="8">
        <v>129.54140000000001</v>
      </c>
      <c r="N305" s="8">
        <v>12.983850370834055</v>
      </c>
      <c r="O305" s="8">
        <v>5.9573543307765171E-3</v>
      </c>
      <c r="P305" s="8">
        <v>0.25573939836924059</v>
      </c>
      <c r="Q305" s="8">
        <v>0.12558610623664618</v>
      </c>
      <c r="R305" s="41">
        <v>6.7919128284710233E-3</v>
      </c>
      <c r="S305" s="33">
        <v>-1.4557344380430779E-2</v>
      </c>
      <c r="T305" s="36">
        <v>44</v>
      </c>
      <c r="U305" s="34">
        <v>6.9751091666666667E-2</v>
      </c>
      <c r="V305">
        <v>112.166141081871</v>
      </c>
    </row>
    <row r="306" spans="1:22" x14ac:dyDescent="0.2">
      <c r="A306" s="35" t="s">
        <v>48</v>
      </c>
      <c r="B306" s="36">
        <v>2018</v>
      </c>
      <c r="C306" s="12">
        <v>3.2535476455052827</v>
      </c>
      <c r="D306" s="37">
        <v>0.21626485911211291</v>
      </c>
      <c r="E306" s="6">
        <v>1.3206819320112894E-2</v>
      </c>
      <c r="F306" s="11">
        <v>0.98440000000000005</v>
      </c>
      <c r="G306" s="8">
        <v>329846</v>
      </c>
      <c r="H306" s="38">
        <v>-12.691341554766764</v>
      </c>
      <c r="I306" s="37">
        <v>426897.19044375001</v>
      </c>
      <c r="J306" s="11">
        <v>0.86240000000000006</v>
      </c>
      <c r="K306" s="11">
        <v>68.232200000000006</v>
      </c>
      <c r="L306" s="38">
        <v>1</v>
      </c>
      <c r="M306" s="8">
        <v>94.401300000000006</v>
      </c>
      <c r="N306" s="8">
        <v>13.066885080201184</v>
      </c>
      <c r="O306" s="8">
        <v>4.8302291456945676E-3</v>
      </c>
      <c r="P306" s="8">
        <v>0.26362517725407453</v>
      </c>
      <c r="Q306" s="8">
        <v>0.14431605233215808</v>
      </c>
      <c r="R306" s="41">
        <v>6.6009056487055535E-3</v>
      </c>
      <c r="S306" s="33">
        <v>2.2317420335519114E-2</v>
      </c>
      <c r="T306" s="36">
        <v>45.2</v>
      </c>
      <c r="U306" s="34">
        <v>9.823383333333334E-2</v>
      </c>
      <c r="V306">
        <v>110.42317934106001</v>
      </c>
    </row>
    <row r="307" spans="1:22" x14ac:dyDescent="0.2">
      <c r="A307" s="35" t="s">
        <v>48</v>
      </c>
      <c r="B307" s="36">
        <v>2019</v>
      </c>
      <c r="C307" s="12">
        <v>2.2516864633792366</v>
      </c>
      <c r="D307" s="37">
        <v>0.47050631745223687</v>
      </c>
      <c r="E307" s="6">
        <v>7.8065526307914239E-3</v>
      </c>
      <c r="F307" s="11">
        <v>0.98309999999999997</v>
      </c>
      <c r="G307" s="8">
        <v>315404</v>
      </c>
      <c r="H307" s="38">
        <v>-4.3784068929136621</v>
      </c>
      <c r="I307" s="37">
        <v>479198.76638839999</v>
      </c>
      <c r="J307" s="11">
        <v>0.84850000000000003</v>
      </c>
      <c r="K307" s="11">
        <v>72.286199999999994</v>
      </c>
      <c r="L307" s="38">
        <v>1</v>
      </c>
      <c r="M307" s="8">
        <v>87.359300000000005</v>
      </c>
      <c r="N307" s="8">
        <v>13.187455962145309</v>
      </c>
      <c r="O307" s="8">
        <v>4.3601981037807705E-3</v>
      </c>
      <c r="P307" s="8">
        <v>0.2482755264515222</v>
      </c>
      <c r="Q307" s="8">
        <v>0.23624157452955083</v>
      </c>
      <c r="R307" s="41">
        <v>6.9306770432806192E-3</v>
      </c>
      <c r="S307" s="33">
        <v>1.5297507443604967E-2</v>
      </c>
      <c r="T307" s="36">
        <v>45.2</v>
      </c>
      <c r="U307" s="34">
        <v>0.16861495833333337</v>
      </c>
      <c r="V307">
        <v>109.009665900863</v>
      </c>
    </row>
    <row r="308" spans="1:22" x14ac:dyDescent="0.2">
      <c r="A308" s="35" t="s">
        <v>48</v>
      </c>
      <c r="B308" s="36">
        <v>2020</v>
      </c>
      <c r="C308" s="12">
        <v>1.8318087067213153</v>
      </c>
      <c r="D308" s="37">
        <v>0.69015242332726556</v>
      </c>
      <c r="E308" s="6">
        <v>1.5001094981104992E-2</v>
      </c>
      <c r="F308" s="11">
        <v>0.97799999999999998</v>
      </c>
      <c r="G308" s="8">
        <v>271752</v>
      </c>
      <c r="H308" s="38">
        <v>-13.840027393438255</v>
      </c>
      <c r="I308" s="37">
        <v>488737.16095329996</v>
      </c>
      <c r="J308" s="11">
        <v>0.83660000000000001</v>
      </c>
      <c r="K308" s="11">
        <v>68.596299999999999</v>
      </c>
      <c r="L308" s="38">
        <v>1</v>
      </c>
      <c r="M308" s="8">
        <v>82.248199999999997</v>
      </c>
      <c r="N308" s="8">
        <v>13.238267640561308</v>
      </c>
      <c r="O308" s="8">
        <v>4.3593976706593303E-3</v>
      </c>
      <c r="P308" s="8">
        <v>0.24934446617953079</v>
      </c>
      <c r="Q308" s="8">
        <v>0.2198744472928319</v>
      </c>
      <c r="R308" s="41">
        <v>6.8247149294948274E-3</v>
      </c>
      <c r="S308" s="33">
        <v>-1.3521754698139338E-2</v>
      </c>
      <c r="T308" s="36">
        <v>45.4</v>
      </c>
      <c r="U308" s="34">
        <v>0.19133301666666666</v>
      </c>
      <c r="V308">
        <v>106.77458226243699</v>
      </c>
    </row>
    <row r="309" spans="1:22" x14ac:dyDescent="0.2">
      <c r="A309" s="35" t="s">
        <v>48</v>
      </c>
      <c r="B309" s="36">
        <v>2021</v>
      </c>
      <c r="C309" s="12">
        <v>1.3730900516260984</v>
      </c>
      <c r="D309" s="37">
        <v>-4.2621397155028529</v>
      </c>
      <c r="E309" s="6">
        <v>5.8424503688049627E-2</v>
      </c>
      <c r="F309" s="11">
        <v>0.98299999999999998</v>
      </c>
      <c r="G309" s="8">
        <v>190463</v>
      </c>
      <c r="H309" s="38">
        <v>-29.912935323383081</v>
      </c>
      <c r="I309" s="37">
        <v>496981.29467528005</v>
      </c>
      <c r="J309" s="11">
        <v>0.72419999999999995</v>
      </c>
      <c r="K309" s="11">
        <v>68.0184</v>
      </c>
      <c r="L309" s="38">
        <v>1</v>
      </c>
      <c r="M309" s="8">
        <v>370.75400000000002</v>
      </c>
      <c r="N309" s="8">
        <v>13.409471403923266</v>
      </c>
      <c r="O309" s="8">
        <v>4.8592994934941909E-3</v>
      </c>
      <c r="P309" s="8">
        <v>0.34057845157048139</v>
      </c>
      <c r="Q309" s="8">
        <v>9.5432103014584407E-2</v>
      </c>
      <c r="R309" s="41">
        <v>6.5822196665380152E-3</v>
      </c>
      <c r="S309" s="33">
        <v>-8.566975901496245E-3</v>
      </c>
      <c r="T309" s="36">
        <v>45.6</v>
      </c>
      <c r="U309" s="34">
        <v>8.6284741666666664E-2</v>
      </c>
      <c r="V309">
        <v>109.754323839417</v>
      </c>
    </row>
    <row r="310" spans="1:22" x14ac:dyDescent="0.2">
      <c r="A310" s="35" t="s">
        <v>48</v>
      </c>
      <c r="B310" s="36">
        <v>2022</v>
      </c>
      <c r="C310" s="37">
        <v>1.1016736135436169</v>
      </c>
      <c r="D310" s="37">
        <v>6.4158383925383339E-2</v>
      </c>
      <c r="E310" s="40">
        <v>1.920127230488175E-2</v>
      </c>
      <c r="F310" s="37">
        <v>0.98470000000000002</v>
      </c>
      <c r="G310" s="37">
        <v>161495</v>
      </c>
      <c r="H310" s="38">
        <v>-15.209253240786925</v>
      </c>
      <c r="I310" s="37">
        <v>495462.51127549249</v>
      </c>
      <c r="J310" s="37">
        <v>0.66290000000000004</v>
      </c>
      <c r="K310" s="37">
        <v>69.994600000000005</v>
      </c>
      <c r="L310" s="38">
        <v>1</v>
      </c>
      <c r="M310" s="37">
        <v>469.70870000000002</v>
      </c>
      <c r="N310" s="37">
        <v>13.373797532651009</v>
      </c>
      <c r="O310" s="37">
        <v>5.8778707523122033E-3</v>
      </c>
      <c r="P310" s="38">
        <v>0.35475174632932699</v>
      </c>
      <c r="Q310" s="37">
        <v>7.8939877675473322E-2</v>
      </c>
      <c r="R310" s="41">
        <v>6.4231467466784502E-3</v>
      </c>
      <c r="S310" s="33">
        <v>-0.15470779172132842</v>
      </c>
      <c r="T310" s="36">
        <v>46.3</v>
      </c>
      <c r="U310" s="34">
        <v>0.19251043333333331</v>
      </c>
      <c r="V310">
        <v>131.49814044376399</v>
      </c>
    </row>
    <row r="311" spans="1:22" x14ac:dyDescent="0.2">
      <c r="A311" s="35"/>
      <c r="B311" s="36"/>
      <c r="C311" s="37"/>
      <c r="D311" s="37"/>
      <c r="E311" s="40"/>
      <c r="F311" s="37"/>
      <c r="G311" s="37"/>
      <c r="H311" s="38"/>
      <c r="I311" s="37"/>
      <c r="J311" s="37"/>
      <c r="K311" s="37"/>
      <c r="L311" s="38"/>
      <c r="M311" s="37"/>
      <c r="N311" s="37"/>
      <c r="O311" s="37"/>
      <c r="P311" s="38"/>
      <c r="Q311" s="37"/>
      <c r="R311" s="41"/>
      <c r="S311" s="33"/>
      <c r="T311" s="36"/>
      <c r="U311" s="34"/>
      <c r="V311"/>
    </row>
    <row r="312" spans="1:22" x14ac:dyDescent="0.2">
      <c r="A312" s="35" t="s">
        <v>49</v>
      </c>
      <c r="B312" s="36">
        <v>2014</v>
      </c>
      <c r="C312" s="12">
        <v>5.241041408158912E-2</v>
      </c>
      <c r="D312" s="38">
        <v>2.1697569535061438</v>
      </c>
      <c r="E312" s="40">
        <v>-4.1041522243768398E-3</v>
      </c>
      <c r="F312" s="11">
        <v>0.99570000000000003</v>
      </c>
      <c r="G312" s="8">
        <v>2337717</v>
      </c>
      <c r="H312" s="38">
        <v>7.2343312501605501</v>
      </c>
      <c r="I312" s="37">
        <v>234096.26359680001</v>
      </c>
      <c r="J312" s="11">
        <v>0.72560000000000002</v>
      </c>
      <c r="K312" s="11">
        <v>63.669499999999999</v>
      </c>
      <c r="L312" s="38">
        <v>1</v>
      </c>
      <c r="M312" s="8">
        <v>228.69839999999999</v>
      </c>
      <c r="N312" s="8">
        <v>12.915135310923651</v>
      </c>
      <c r="O312" s="8">
        <v>4.626963953310255E-3</v>
      </c>
      <c r="P312" s="8">
        <v>0.36611555442894</v>
      </c>
      <c r="Q312" s="8">
        <v>0.50058715707996637</v>
      </c>
      <c r="R312" s="41">
        <v>8.1564946569008933E-3</v>
      </c>
      <c r="S312" s="33">
        <v>-6.0497682581134235E-2</v>
      </c>
      <c r="T312" s="36">
        <v>43</v>
      </c>
      <c r="U312" s="34">
        <v>0.10612881666666664</v>
      </c>
      <c r="V312">
        <v>105.944781034025</v>
      </c>
    </row>
    <row r="313" spans="1:22" x14ac:dyDescent="0.2">
      <c r="A313" s="35" t="s">
        <v>49</v>
      </c>
      <c r="B313" s="36">
        <v>2015</v>
      </c>
      <c r="C313" s="12">
        <v>5.4613521418520626E-2</v>
      </c>
      <c r="D313" s="38">
        <v>2.3312837866332607</v>
      </c>
      <c r="E313" s="40">
        <v>-5.6036251637939767E-3</v>
      </c>
      <c r="F313" s="11">
        <v>0.98970000000000002</v>
      </c>
      <c r="G313" s="8">
        <v>1889038</v>
      </c>
      <c r="H313" s="38">
        <v>-19.193041758262442</v>
      </c>
      <c r="I313" s="37">
        <v>156458.28844205997</v>
      </c>
      <c r="J313" s="11">
        <v>0.75309999999999999</v>
      </c>
      <c r="K313" s="11">
        <v>61.733600000000003</v>
      </c>
      <c r="L313" s="38">
        <v>1</v>
      </c>
      <c r="M313" s="8">
        <v>215.93020000000001</v>
      </c>
      <c r="N313" s="8">
        <v>12.862193181048083</v>
      </c>
      <c r="O313" s="8">
        <v>3.5213285009175173E-3</v>
      </c>
      <c r="P313" s="8">
        <v>0.33719813772576873</v>
      </c>
      <c r="Q313" s="8">
        <v>0.43195616014751909</v>
      </c>
      <c r="R313" s="41">
        <v>8.0766454125402384E-3</v>
      </c>
      <c r="S313" s="33">
        <v>-9.2314533358446485E-2</v>
      </c>
      <c r="T313" s="36">
        <v>44.8</v>
      </c>
      <c r="U313" s="34">
        <v>0.16251885833333332</v>
      </c>
      <c r="V313">
        <v>121.044025684011</v>
      </c>
    </row>
    <row r="314" spans="1:22" x14ac:dyDescent="0.2">
      <c r="A314" s="35" t="s">
        <v>49</v>
      </c>
      <c r="B314" s="36">
        <v>2016</v>
      </c>
      <c r="C314" s="12">
        <v>4.7453253653080625E-2</v>
      </c>
      <c r="D314" s="38">
        <v>1.4237162004254114</v>
      </c>
      <c r="E314" s="40">
        <v>1.2769400945215391E-2</v>
      </c>
      <c r="F314" s="11">
        <v>0.98089999999999999</v>
      </c>
      <c r="G314" s="8">
        <v>2289895</v>
      </c>
      <c r="H314" s="38">
        <v>21.220166031599152</v>
      </c>
      <c r="I314" s="37">
        <v>98602.711950900004</v>
      </c>
      <c r="J314" s="11">
        <v>0.55210000000000004</v>
      </c>
      <c r="K314" s="11">
        <v>60.8322</v>
      </c>
      <c r="L314" s="38">
        <v>1</v>
      </c>
      <c r="M314" s="8">
        <v>224.20859999999999</v>
      </c>
      <c r="N314" s="8">
        <v>13.156957129200887</v>
      </c>
      <c r="O314" s="8">
        <v>3.298504688499718E-3</v>
      </c>
      <c r="P314" s="8">
        <v>0.27967008623086759</v>
      </c>
      <c r="Q314" s="8">
        <v>0.50753241493725243</v>
      </c>
      <c r="R314" s="41">
        <v>8.1409922334929469E-3</v>
      </c>
      <c r="S314" s="33">
        <v>0.12570431786897612</v>
      </c>
      <c r="T314" s="36">
        <v>44.6</v>
      </c>
      <c r="U314" s="34">
        <v>0.17348815833333334</v>
      </c>
      <c r="V314">
        <v>108.79290004683401</v>
      </c>
    </row>
    <row r="315" spans="1:22" x14ac:dyDescent="0.2">
      <c r="A315" s="35" t="s">
        <v>49</v>
      </c>
      <c r="B315" s="36">
        <v>2017</v>
      </c>
      <c r="C315" s="12">
        <v>3.0998503951558121E-2</v>
      </c>
      <c r="D315" s="38">
        <v>0.99635061855608298</v>
      </c>
      <c r="E315" s="40">
        <v>1.8914302014228924E-3</v>
      </c>
      <c r="F315" s="11">
        <v>0.9849</v>
      </c>
      <c r="G315" s="8">
        <v>2518459</v>
      </c>
      <c r="H315" s="38">
        <v>9.9814183619772958</v>
      </c>
      <c r="I315" s="37">
        <v>81971.514374240011</v>
      </c>
      <c r="J315" s="11">
        <v>0.48959999999999998</v>
      </c>
      <c r="K315" s="11">
        <v>67.747100000000003</v>
      </c>
      <c r="L315" s="38">
        <v>1</v>
      </c>
      <c r="M315" s="8">
        <v>260.05500000000001</v>
      </c>
      <c r="N315" s="8">
        <v>13.284534860869721</v>
      </c>
      <c r="O315" s="8">
        <v>4.1278650604461868E-3</v>
      </c>
      <c r="P315" s="8">
        <v>0.23857779603108412</v>
      </c>
      <c r="Q315" s="8">
        <v>0.84154245769291236</v>
      </c>
      <c r="R315" s="41">
        <v>6.4754916521300599E-3</v>
      </c>
      <c r="S315" s="33">
        <v>-1.4557344380430779E-2</v>
      </c>
      <c r="T315" s="36">
        <v>44</v>
      </c>
      <c r="U315" s="34">
        <v>6.9751091666666667E-2</v>
      </c>
      <c r="V315">
        <v>112.166141081871</v>
      </c>
    </row>
    <row r="316" spans="1:22" x14ac:dyDescent="0.2">
      <c r="A316" s="35" t="s">
        <v>49</v>
      </c>
      <c r="B316" s="36">
        <v>2018</v>
      </c>
      <c r="C316" s="12">
        <v>3.5299547032468397E-2</v>
      </c>
      <c r="D316" s="38">
        <v>0.37405403427631134</v>
      </c>
      <c r="E316" s="40">
        <v>8.8426613761903132E-3</v>
      </c>
      <c r="F316" s="11">
        <v>0.98560000000000003</v>
      </c>
      <c r="G316" s="8">
        <v>2874058</v>
      </c>
      <c r="H316" s="38">
        <v>14.11970574069302</v>
      </c>
      <c r="I316" s="37">
        <v>73041.767776699999</v>
      </c>
      <c r="J316" s="11">
        <v>0.37580000000000002</v>
      </c>
      <c r="K316" s="11">
        <v>68.161100000000005</v>
      </c>
      <c r="L316" s="38">
        <v>1</v>
      </c>
      <c r="M316" s="8">
        <v>307.22289999999998</v>
      </c>
      <c r="N316" s="8">
        <v>13.374739159893984</v>
      </c>
      <c r="O316" s="8">
        <v>3.6475619942062001E-3</v>
      </c>
      <c r="P316" s="8">
        <v>0.22157517004185573</v>
      </c>
      <c r="Q316" s="8">
        <v>1.0575975542142988</v>
      </c>
      <c r="R316" s="41">
        <v>6.4251431652309317E-3</v>
      </c>
      <c r="S316" s="33">
        <v>2.2317420335519114E-2</v>
      </c>
      <c r="T316" s="36">
        <v>45.2</v>
      </c>
      <c r="U316" s="34">
        <v>9.823383333333334E-2</v>
      </c>
      <c r="V316">
        <v>110.42317934106001</v>
      </c>
    </row>
    <row r="317" spans="1:22" x14ac:dyDescent="0.2">
      <c r="A317" s="35" t="s">
        <v>49</v>
      </c>
      <c r="B317" s="36">
        <v>2019</v>
      </c>
      <c r="C317" s="12">
        <v>4.2179601819229813E-2</v>
      </c>
      <c r="D317" s="38">
        <v>0.31381404266238316</v>
      </c>
      <c r="E317" s="40">
        <v>7.6442450170135711E-3</v>
      </c>
      <c r="F317" s="11">
        <v>0.9798</v>
      </c>
      <c r="G317" s="8">
        <v>2651331</v>
      </c>
      <c r="H317" s="38">
        <v>-7.7495652488571904</v>
      </c>
      <c r="I317" s="37">
        <v>90921.20028142001</v>
      </c>
      <c r="J317" s="11">
        <v>0.26550000000000001</v>
      </c>
      <c r="K317" s="11">
        <v>64.556200000000004</v>
      </c>
      <c r="L317" s="38">
        <v>1</v>
      </c>
      <c r="M317" s="8">
        <v>326.8596</v>
      </c>
      <c r="N317" s="8">
        <v>13.151616470203056</v>
      </c>
      <c r="O317" s="8">
        <v>3.4329276795404071E-3</v>
      </c>
      <c r="P317" s="8">
        <v>0.28034233361809158</v>
      </c>
      <c r="Q317" s="8">
        <v>1.4501531074930256</v>
      </c>
      <c r="R317" s="41">
        <v>7.6016168299591251E-3</v>
      </c>
      <c r="S317" s="33">
        <v>1.5297507443604967E-2</v>
      </c>
      <c r="T317" s="36">
        <v>45.2</v>
      </c>
      <c r="U317" s="34">
        <v>0.16861495833333337</v>
      </c>
      <c r="V317">
        <v>109.009665900863</v>
      </c>
    </row>
    <row r="318" spans="1:22" x14ac:dyDescent="0.2">
      <c r="A318" s="35" t="s">
        <v>49</v>
      </c>
      <c r="B318" s="36">
        <v>2020</v>
      </c>
      <c r="C318" s="37">
        <v>4.3188430181148797E-2</v>
      </c>
      <c r="D318" s="38">
        <v>1.0713072956209087</v>
      </c>
      <c r="E318" s="40">
        <v>1.0714831598003936E-2</v>
      </c>
      <c r="F318" s="11">
        <v>0.97550000000000003</v>
      </c>
      <c r="G318" s="37">
        <v>2093297</v>
      </c>
      <c r="H318" s="38">
        <v>-21.047315480413424</v>
      </c>
      <c r="I318" s="37">
        <v>93154.092508670001</v>
      </c>
      <c r="J318" s="11">
        <v>0.25130000000000002</v>
      </c>
      <c r="K318" s="11">
        <v>60.836500000000001</v>
      </c>
      <c r="L318" s="38">
        <v>1</v>
      </c>
      <c r="M318" s="8">
        <v>415.92079999999999</v>
      </c>
      <c r="N318" s="8">
        <v>13.169668853493469</v>
      </c>
      <c r="O318" s="8">
        <v>4.2771888613428776E-3</v>
      </c>
      <c r="P318" s="8">
        <v>0.28112949226626094</v>
      </c>
      <c r="Q318" s="8">
        <v>1.4045043851149828</v>
      </c>
      <c r="R318" s="41">
        <v>8.1370686846142012E-3</v>
      </c>
      <c r="S318" s="33">
        <v>-1.3521754698139338E-2</v>
      </c>
      <c r="T318" s="36">
        <v>45.4</v>
      </c>
      <c r="U318" s="34">
        <v>0.19133301666666666</v>
      </c>
      <c r="V318">
        <v>106.77458226243699</v>
      </c>
    </row>
    <row r="319" spans="1:22" x14ac:dyDescent="0.2">
      <c r="A319" s="35" t="s">
        <v>49</v>
      </c>
      <c r="B319" s="36">
        <v>2021</v>
      </c>
      <c r="C319" s="37">
        <v>3.6761848969892492E-2</v>
      </c>
      <c r="D319" s="38">
        <v>-3.7514122602237547</v>
      </c>
      <c r="E319" s="40">
        <v>5.2676627832405759E-2</v>
      </c>
      <c r="F319" s="37">
        <v>0.97989999999999999</v>
      </c>
      <c r="G319" s="37">
        <v>1906004</v>
      </c>
      <c r="H319" s="38">
        <v>-8.9472731294221504</v>
      </c>
      <c r="I319" s="37">
        <v>116392.17720440999</v>
      </c>
      <c r="J319" s="37">
        <v>0.41110000000000002</v>
      </c>
      <c r="K319" s="37">
        <v>71.751800000000003</v>
      </c>
      <c r="L319" s="38">
        <v>1</v>
      </c>
      <c r="M319" s="37">
        <v>436.97129999999999</v>
      </c>
      <c r="N319" s="37">
        <v>13.239274116453958</v>
      </c>
      <c r="O319" s="37">
        <v>4.2323285966211323E-3</v>
      </c>
      <c r="P319" s="38">
        <v>0.25487384311929501</v>
      </c>
      <c r="Q319" s="37">
        <v>0.75053505404135534</v>
      </c>
      <c r="R319" s="41">
        <v>7.5150561569885888E-3</v>
      </c>
      <c r="S319" s="33">
        <v>-8.566975901496245E-3</v>
      </c>
      <c r="T319" s="36">
        <v>45.6</v>
      </c>
      <c r="U319" s="34">
        <v>8.6284741666666664E-2</v>
      </c>
      <c r="V319">
        <v>109.754323839417</v>
      </c>
    </row>
    <row r="320" spans="1:22" x14ac:dyDescent="0.2">
      <c r="A320" s="35" t="s">
        <v>49</v>
      </c>
      <c r="B320" s="36">
        <v>2022</v>
      </c>
      <c r="C320" s="37">
        <v>4.0091651227236159E-2</v>
      </c>
      <c r="D320" s="38">
        <v>1.5320046598737598</v>
      </c>
      <c r="E320" s="40">
        <v>1.9489746627983572E-3</v>
      </c>
      <c r="F320" s="37">
        <v>0.98119999999999996</v>
      </c>
      <c r="G320" s="37">
        <v>1817636</v>
      </c>
      <c r="H320" s="38">
        <v>-4.6362966709408795</v>
      </c>
      <c r="I320" s="37">
        <v>106339.6183</v>
      </c>
      <c r="J320" s="37">
        <v>0.6633</v>
      </c>
      <c r="K320" s="37">
        <v>63.866</v>
      </c>
      <c r="L320" s="38">
        <v>1</v>
      </c>
      <c r="M320" s="37">
        <v>539.93619999999999</v>
      </c>
      <c r="N320" s="37">
        <v>13.183831110055857</v>
      </c>
      <c r="O320" s="37">
        <v>5.2859962708322666E-3</v>
      </c>
      <c r="P320" s="38">
        <v>0.22502907275737377</v>
      </c>
      <c r="Q320" s="37">
        <v>0.46963974005279285</v>
      </c>
      <c r="R320" s="41">
        <v>7.7617901185408449E-3</v>
      </c>
      <c r="S320" s="33">
        <v>-0.15470779172132842</v>
      </c>
      <c r="T320" s="36">
        <v>46.3</v>
      </c>
      <c r="U320" s="34">
        <v>0.19251043333333331</v>
      </c>
      <c r="V320">
        <v>131.49814044376399</v>
      </c>
    </row>
    <row r="321" spans="1:22" x14ac:dyDescent="0.2">
      <c r="A321" s="35"/>
      <c r="B321" s="36"/>
      <c r="C321" s="37"/>
      <c r="D321" s="38"/>
      <c r="E321" s="40"/>
      <c r="F321" s="37"/>
      <c r="G321" s="37"/>
      <c r="H321" s="38"/>
      <c r="I321" s="37"/>
      <c r="J321" s="37"/>
      <c r="K321" s="37"/>
      <c r="L321" s="38"/>
      <c r="M321" s="37"/>
      <c r="N321" s="37"/>
      <c r="O321" s="37"/>
      <c r="P321" s="38"/>
      <c r="Q321" s="37"/>
      <c r="R321" s="41"/>
      <c r="S321" s="33"/>
      <c r="T321" s="36"/>
      <c r="U321" s="34"/>
      <c r="V321"/>
    </row>
    <row r="322" spans="1:22" x14ac:dyDescent="0.2">
      <c r="A322" s="35" t="s">
        <v>51</v>
      </c>
      <c r="B322" s="36">
        <v>2014</v>
      </c>
      <c r="C322" s="12">
        <v>5.8472417504466172</v>
      </c>
      <c r="D322" s="37">
        <v>0.60436281721437701</v>
      </c>
      <c r="E322" s="6">
        <v>9.6380923242649456E-3</v>
      </c>
      <c r="F322" s="11">
        <v>0.98329999999999995</v>
      </c>
      <c r="G322" s="8">
        <v>2030790</v>
      </c>
      <c r="H322" s="38">
        <v>-7.1733062976008828</v>
      </c>
      <c r="I322" s="37">
        <v>161668.02960263999</v>
      </c>
      <c r="J322" s="11">
        <v>1.2978000000000001</v>
      </c>
      <c r="K322" s="11">
        <v>56.446599999999997</v>
      </c>
      <c r="L322" s="38">
        <v>1</v>
      </c>
      <c r="M322" s="8">
        <v>113.7312</v>
      </c>
      <c r="N322" s="8">
        <v>11.550154136671916</v>
      </c>
      <c r="O322" s="8">
        <v>7.9468973092582072E-3</v>
      </c>
      <c r="P322" s="8">
        <v>2.1473791797505211</v>
      </c>
      <c r="Q322" s="8">
        <v>0.10844568438565597</v>
      </c>
      <c r="R322" s="41">
        <v>8.3199438417562409E-3</v>
      </c>
      <c r="S322" s="33">
        <v>-6.0497682581134235E-2</v>
      </c>
      <c r="T322" s="36">
        <v>43</v>
      </c>
      <c r="U322" s="34">
        <v>0.10612881666666664</v>
      </c>
      <c r="V322">
        <v>105.944781034025</v>
      </c>
    </row>
    <row r="323" spans="1:22" x14ac:dyDescent="0.2">
      <c r="A323" s="35" t="s">
        <v>51</v>
      </c>
      <c r="B323" s="36">
        <v>2015</v>
      </c>
      <c r="C323" s="12">
        <v>6.0389514436099363</v>
      </c>
      <c r="D323" s="37">
        <v>1.5026150916310517</v>
      </c>
      <c r="E323" s="6">
        <v>2.7776460258536195E-3</v>
      </c>
      <c r="F323" s="11">
        <v>0.98340000000000005</v>
      </c>
      <c r="G323" s="8">
        <v>2128382</v>
      </c>
      <c r="H323" s="38">
        <v>4.8056175183056844</v>
      </c>
      <c r="I323" s="37">
        <v>115452.69119984</v>
      </c>
      <c r="J323" s="11">
        <v>1.1418999999999999</v>
      </c>
      <c r="K323" s="11">
        <v>56.529299999999999</v>
      </c>
      <c r="L323" s="38">
        <v>1</v>
      </c>
      <c r="M323" s="8">
        <v>87.843299999999999</v>
      </c>
      <c r="N323" s="8">
        <v>11.447328120009837</v>
      </c>
      <c r="O323" s="8">
        <v>7.1363541326715752E-3</v>
      </c>
      <c r="P323" s="8">
        <v>3.1162471438387622</v>
      </c>
      <c r="Q323" s="8">
        <v>0.11716246906391031</v>
      </c>
      <c r="R323" s="41">
        <v>8.0243352171745028E-3</v>
      </c>
      <c r="S323" s="33">
        <v>-9.2314533358446485E-2</v>
      </c>
      <c r="T323" s="36">
        <v>44.8</v>
      </c>
      <c r="U323" s="34">
        <v>0.16251885833333332</v>
      </c>
      <c r="V323">
        <v>121.044025684011</v>
      </c>
    </row>
    <row r="324" spans="1:22" x14ac:dyDescent="0.2">
      <c r="A324" s="35" t="s">
        <v>51</v>
      </c>
      <c r="B324" s="36">
        <v>2016</v>
      </c>
      <c r="C324" s="12">
        <v>5.7420284455481996</v>
      </c>
      <c r="D324" s="37">
        <v>2.070398994202364</v>
      </c>
      <c r="E324" s="6">
        <v>4.2306947562843521E-3</v>
      </c>
      <c r="F324" s="11">
        <v>0.96199999999999997</v>
      </c>
      <c r="G324" s="8">
        <v>1768635</v>
      </c>
      <c r="H324" s="38">
        <v>-16.902369969300622</v>
      </c>
      <c r="I324" s="37">
        <v>105865.85646542998</v>
      </c>
      <c r="J324" s="11">
        <v>1.1131</v>
      </c>
      <c r="K324" s="11">
        <v>56.3551</v>
      </c>
      <c r="L324" s="38">
        <v>1</v>
      </c>
      <c r="M324" s="8">
        <v>88.6203</v>
      </c>
      <c r="N324" s="8">
        <v>11.501055202336996</v>
      </c>
      <c r="O324" s="8">
        <v>6.3463858334544222E-3</v>
      </c>
      <c r="P324" s="8">
        <v>2.7542200416166605</v>
      </c>
      <c r="Q324" s="8">
        <v>0.14578214632213393</v>
      </c>
      <c r="R324" s="41">
        <v>8.3864891080392689E-3</v>
      </c>
      <c r="S324" s="33">
        <v>0.12570431786897612</v>
      </c>
      <c r="T324" s="36">
        <v>44.6</v>
      </c>
      <c r="U324" s="34">
        <v>0.17348815833333334</v>
      </c>
      <c r="V324">
        <v>108.79290004683401</v>
      </c>
    </row>
    <row r="325" spans="1:22" x14ac:dyDescent="0.2">
      <c r="A325" s="35" t="s">
        <v>51</v>
      </c>
      <c r="B325" s="36">
        <v>2017</v>
      </c>
      <c r="C325" s="12">
        <v>3.9126603318883331</v>
      </c>
      <c r="D325" s="37">
        <v>3.7060318266647903</v>
      </c>
      <c r="E325" s="6">
        <v>-2.4454978929276505E-2</v>
      </c>
      <c r="F325" s="11">
        <v>0.96499999999999997</v>
      </c>
      <c r="G325" s="8">
        <v>1711160</v>
      </c>
      <c r="H325" s="38">
        <v>-3.2496812513605122</v>
      </c>
      <c r="I325" s="37">
        <v>91965.942520200013</v>
      </c>
      <c r="J325" s="11">
        <v>1.0908</v>
      </c>
      <c r="K325" s="11">
        <v>67.855699999999999</v>
      </c>
      <c r="L325" s="38">
        <v>1</v>
      </c>
      <c r="M325" s="8">
        <v>54.806100000000001</v>
      </c>
      <c r="N325" s="8">
        <v>11.506054641832076</v>
      </c>
      <c r="O325" s="8">
        <v>5.9321741851510344E-3</v>
      </c>
      <c r="P325" s="8">
        <v>7.3883601187554309</v>
      </c>
      <c r="Q325" s="8">
        <v>0.31150932213513188</v>
      </c>
      <c r="R325" s="41">
        <v>8.4750700956532955E-3</v>
      </c>
      <c r="S325" s="33">
        <v>-1.4557344380430779E-2</v>
      </c>
      <c r="T325" s="36">
        <v>44</v>
      </c>
      <c r="U325" s="34">
        <v>6.9751091666666667E-2</v>
      </c>
      <c r="V325">
        <v>112.166141081871</v>
      </c>
    </row>
    <row r="326" spans="1:22" x14ac:dyDescent="0.2">
      <c r="A326" s="35" t="s">
        <v>51</v>
      </c>
      <c r="B326" s="36">
        <v>2018</v>
      </c>
      <c r="C326" s="12">
        <v>5.9476147773136336</v>
      </c>
      <c r="D326" s="37">
        <v>1.3088451422313092</v>
      </c>
      <c r="E326" s="6">
        <v>4.0804775063557888E-3</v>
      </c>
      <c r="F326" s="11">
        <v>0.96579999999999999</v>
      </c>
      <c r="G326" s="8">
        <v>1392981</v>
      </c>
      <c r="H326" s="38">
        <v>-18.594345356366439</v>
      </c>
      <c r="I326" s="37">
        <v>89030.631538000001</v>
      </c>
      <c r="J326" s="11">
        <v>1.1222000000000001</v>
      </c>
      <c r="K326" s="11">
        <v>62.125799999999998</v>
      </c>
      <c r="L326" s="38">
        <v>1</v>
      </c>
      <c r="M326" s="8">
        <v>62.641399999999997</v>
      </c>
      <c r="N326" s="8">
        <v>11.595186702807899</v>
      </c>
      <c r="O326" s="8">
        <v>4.88028093474088E-3</v>
      </c>
      <c r="P326" s="8">
        <v>6.5569969561637231</v>
      </c>
      <c r="Q326" s="8">
        <v>0.24925953384875141</v>
      </c>
      <c r="R326" s="41">
        <v>8.5948375561459203E-3</v>
      </c>
      <c r="S326" s="33">
        <v>2.2317420335519114E-2</v>
      </c>
      <c r="T326" s="36">
        <v>45.2</v>
      </c>
      <c r="U326" s="34">
        <v>9.823383333333334E-2</v>
      </c>
      <c r="V326">
        <v>110.42317934106001</v>
      </c>
    </row>
    <row r="327" spans="1:22" x14ac:dyDescent="0.2">
      <c r="A327" s="35" t="s">
        <v>51</v>
      </c>
      <c r="B327" s="36">
        <v>2019</v>
      </c>
      <c r="C327" s="12">
        <v>5.4604191599886436</v>
      </c>
      <c r="D327" s="37">
        <v>0.99507302871310088</v>
      </c>
      <c r="E327" s="6">
        <v>3.7629811619875018E-3</v>
      </c>
      <c r="F327" s="11">
        <v>0.95589999999999997</v>
      </c>
      <c r="G327" s="8">
        <v>1260160</v>
      </c>
      <c r="H327" s="38">
        <v>-9.5350187834579234</v>
      </c>
      <c r="I327" s="37">
        <v>84868.045534999997</v>
      </c>
      <c r="J327" s="11">
        <v>1.1376999999999999</v>
      </c>
      <c r="K327" s="11">
        <v>58.627499999999998</v>
      </c>
      <c r="L327" s="38">
        <v>1</v>
      </c>
      <c r="M327" s="8">
        <v>64.515199999999993</v>
      </c>
      <c r="N327" s="8">
        <v>11.580784981119248</v>
      </c>
      <c r="O327" s="8">
        <v>4.8990015737908552E-3</v>
      </c>
      <c r="P327" s="8">
        <v>8.4905280009403725</v>
      </c>
      <c r="Q327" s="8">
        <v>0.4280711328467306</v>
      </c>
      <c r="R327" s="41">
        <v>8.6089482439602339E-3</v>
      </c>
      <c r="S327" s="33">
        <v>1.5297507443604967E-2</v>
      </c>
      <c r="T327" s="36">
        <v>45.2</v>
      </c>
      <c r="U327" s="34">
        <v>0.16861495833333337</v>
      </c>
      <c r="V327">
        <v>109.009665900863</v>
      </c>
    </row>
    <row r="328" spans="1:22" x14ac:dyDescent="0.2">
      <c r="A328" s="35" t="s">
        <v>51</v>
      </c>
      <c r="B328" s="36">
        <v>2020</v>
      </c>
      <c r="C328" s="12">
        <v>4.4490742524216005</v>
      </c>
      <c r="D328" s="37">
        <v>0.45318341326997286</v>
      </c>
      <c r="E328" s="6">
        <v>1.2554292114988867E-2</v>
      </c>
      <c r="F328" s="11">
        <v>0.95099999999999996</v>
      </c>
      <c r="G328" s="8">
        <v>1147908</v>
      </c>
      <c r="H328" s="38">
        <v>-8.9077577450482472</v>
      </c>
      <c r="I328" s="37">
        <v>87582.948672560015</v>
      </c>
      <c r="J328" s="11">
        <v>1.0084</v>
      </c>
      <c r="K328" s="11">
        <v>61.438600000000001</v>
      </c>
      <c r="L328" s="38">
        <v>1</v>
      </c>
      <c r="M328" s="8">
        <v>121.59059999999999</v>
      </c>
      <c r="N328" s="8">
        <v>11.664563008943921</v>
      </c>
      <c r="O328" s="8">
        <v>5.0367609486818149E-3</v>
      </c>
      <c r="P328" s="8">
        <v>9.9665014392633804</v>
      </c>
      <c r="Q328" s="8">
        <v>0.52503246029090789</v>
      </c>
      <c r="R328" s="41">
        <v>8.8581133013852561E-3</v>
      </c>
      <c r="S328" s="33">
        <v>-1.3521754698139338E-2</v>
      </c>
      <c r="T328" s="36">
        <v>45.4</v>
      </c>
      <c r="U328" s="34">
        <v>0.19133301666666666</v>
      </c>
      <c r="V328">
        <v>106.77458226243699</v>
      </c>
    </row>
    <row r="329" spans="1:22" x14ac:dyDescent="0.2">
      <c r="A329" s="35" t="s">
        <v>51</v>
      </c>
      <c r="B329" s="36">
        <v>2021</v>
      </c>
      <c r="C329" s="37">
        <v>4.561043148873579</v>
      </c>
      <c r="D329" s="37">
        <v>-1.0235332019387651</v>
      </c>
      <c r="E329" s="40">
        <v>2.448382948252787E-2</v>
      </c>
      <c r="F329" s="37">
        <v>0.95709999999999995</v>
      </c>
      <c r="G329" s="37">
        <v>1147356</v>
      </c>
      <c r="H329" s="38">
        <v>-4.8087477393658727E-2</v>
      </c>
      <c r="I329" s="37">
        <v>95035.198335880006</v>
      </c>
      <c r="J329" s="37">
        <v>1.0130999999999999</v>
      </c>
      <c r="K329" s="37">
        <v>57.269599999999997</v>
      </c>
      <c r="L329" s="38">
        <v>1</v>
      </c>
      <c r="M329" s="37">
        <v>141.54750000000001</v>
      </c>
      <c r="N329" s="37">
        <v>11.753960478074548</v>
      </c>
      <c r="O329" s="37">
        <v>5.7848624183989648E-3</v>
      </c>
      <c r="P329" s="38">
        <v>15.066720439088158</v>
      </c>
      <c r="Q329" s="37">
        <v>0.14352907434570883</v>
      </c>
      <c r="R329" s="41">
        <v>8.3596584477087128E-3</v>
      </c>
      <c r="S329" s="33">
        <v>-8.566975901496245E-3</v>
      </c>
      <c r="T329" s="36">
        <v>45.6</v>
      </c>
      <c r="U329" s="34">
        <v>8.6284741666666664E-2</v>
      </c>
      <c r="V329">
        <v>109.754323839417</v>
      </c>
    </row>
    <row r="330" spans="1:22" x14ac:dyDescent="0.2">
      <c r="A330" s="35" t="s">
        <v>51</v>
      </c>
      <c r="B330" s="36">
        <v>2022</v>
      </c>
      <c r="C330" s="37">
        <v>4.0416497268592977</v>
      </c>
      <c r="D330" s="37">
        <v>-0.29304007129996673</v>
      </c>
      <c r="E330" s="40">
        <v>2.1159113687022117E-2</v>
      </c>
      <c r="F330" s="37">
        <v>0.95979999999999999</v>
      </c>
      <c r="G330" s="37">
        <v>1483644</v>
      </c>
      <c r="H330" s="38">
        <v>29.309821886145187</v>
      </c>
      <c r="I330" s="37">
        <v>91649.65387164001</v>
      </c>
      <c r="J330" s="37">
        <v>1.0351999999999999</v>
      </c>
      <c r="K330" s="37">
        <v>63.466799999999999</v>
      </c>
      <c r="L330" s="38">
        <v>1</v>
      </c>
      <c r="M330" s="37">
        <v>182.9984</v>
      </c>
      <c r="N330" s="37">
        <v>11.717686343942884</v>
      </c>
      <c r="O330" s="37">
        <v>5.6112594621063987E-3</v>
      </c>
      <c r="P330" s="38">
        <v>17.354858258686601</v>
      </c>
      <c r="Q330" s="37">
        <v>0.10992050269253717</v>
      </c>
      <c r="R330" s="41">
        <v>8.2315480067445268E-3</v>
      </c>
      <c r="S330" s="33">
        <v>-0.15470779172132842</v>
      </c>
      <c r="T330" s="36">
        <v>46.3</v>
      </c>
      <c r="U330" s="34">
        <v>0.19251043333333331</v>
      </c>
      <c r="V330">
        <v>131.49814044376399</v>
      </c>
    </row>
    <row r="331" spans="1:22" x14ac:dyDescent="0.2">
      <c r="A331" s="35"/>
      <c r="B331" s="36"/>
      <c r="C331" s="37"/>
      <c r="D331" s="37"/>
      <c r="E331" s="40"/>
      <c r="F331" s="37"/>
      <c r="G331" s="37"/>
      <c r="H331" s="38"/>
      <c r="I331" s="37"/>
      <c r="J331" s="37"/>
      <c r="K331" s="37"/>
      <c r="L331" s="38"/>
      <c r="M331" s="37"/>
      <c r="N331" s="37"/>
      <c r="O331" s="37"/>
      <c r="P331" s="38"/>
      <c r="Q331" s="37"/>
      <c r="R331" s="41"/>
      <c r="S331" s="33"/>
      <c r="T331" s="36"/>
      <c r="U331" s="34"/>
      <c r="V331"/>
    </row>
    <row r="332" spans="1:22" x14ac:dyDescent="0.2">
      <c r="A332" s="35" t="s">
        <v>52</v>
      </c>
      <c r="B332" s="36">
        <v>2014</v>
      </c>
      <c r="C332" s="12">
        <v>1.2986658268114948</v>
      </c>
      <c r="D332" s="37">
        <v>0.28305485564643545</v>
      </c>
      <c r="E332" s="9">
        <v>1.9194295922743451E-2</v>
      </c>
      <c r="F332" s="11">
        <v>0.98429999999999995</v>
      </c>
      <c r="G332" s="8">
        <v>12046.2564</v>
      </c>
      <c r="H332" s="37">
        <v>-22.279551213511294</v>
      </c>
      <c r="I332" s="37">
        <v>111729.80723705998</v>
      </c>
      <c r="J332" s="11">
        <v>1.2630999999999999</v>
      </c>
      <c r="K332" s="11">
        <v>64.370500000000007</v>
      </c>
      <c r="L332" s="38">
        <v>1</v>
      </c>
      <c r="M332" s="8">
        <v>80.271199999999993</v>
      </c>
      <c r="N332" s="8">
        <v>10.90507260710555</v>
      </c>
      <c r="O332" s="8">
        <v>1.1112620334726616E-2</v>
      </c>
      <c r="P332" s="8">
        <v>9.8628261438052825E-2</v>
      </c>
      <c r="Q332" s="8">
        <v>0.16343646506685558</v>
      </c>
      <c r="R332" s="41">
        <v>7.7511085009251005E-3</v>
      </c>
      <c r="S332" s="33">
        <v>-6.0497682581134235E-2</v>
      </c>
      <c r="T332" s="36">
        <v>43</v>
      </c>
      <c r="U332" s="34">
        <v>0.10612881666666664</v>
      </c>
      <c r="V332">
        <v>105.944781034025</v>
      </c>
    </row>
    <row r="333" spans="1:22" x14ac:dyDescent="0.2">
      <c r="A333" s="35" t="s">
        <v>52</v>
      </c>
      <c r="B333" s="36">
        <v>2015</v>
      </c>
      <c r="C333" s="12">
        <v>0.93149823149761912</v>
      </c>
      <c r="D333" s="37">
        <v>0.27180047286179265</v>
      </c>
      <c r="E333" s="9">
        <v>1.3202066335119039E-2</v>
      </c>
      <c r="F333" s="11">
        <v>0.97970000000000002</v>
      </c>
      <c r="G333" s="8">
        <v>11915.8434</v>
      </c>
      <c r="H333" s="37">
        <v>-1.0826018944773621</v>
      </c>
      <c r="I333" s="37">
        <v>82549.125128799991</v>
      </c>
      <c r="J333" s="11">
        <v>1.2529999999999999</v>
      </c>
      <c r="K333" s="11">
        <v>70.843699999999998</v>
      </c>
      <c r="L333" s="38">
        <v>1</v>
      </c>
      <c r="M333" s="8">
        <v>81.987399999999994</v>
      </c>
      <c r="N333" s="8">
        <v>10.797308290372312</v>
      </c>
      <c r="O333" s="8">
        <v>1.056251294361237E-2</v>
      </c>
      <c r="P333" s="8">
        <v>0.14589731428659511</v>
      </c>
      <c r="Q333" s="8">
        <v>0.23165297435274348</v>
      </c>
      <c r="R333" s="41">
        <v>7.8889819372034587E-3</v>
      </c>
      <c r="S333" s="33">
        <v>-9.2314533358446485E-2</v>
      </c>
      <c r="T333" s="36">
        <v>44.8</v>
      </c>
      <c r="U333" s="34">
        <v>0.16251885833333332</v>
      </c>
      <c r="V333">
        <v>121.044025684011</v>
      </c>
    </row>
    <row r="334" spans="1:22" x14ac:dyDescent="0.2">
      <c r="A334" s="35" t="s">
        <v>52</v>
      </c>
      <c r="B334" s="36">
        <v>2016</v>
      </c>
      <c r="C334" s="12">
        <v>1.1416298206572084</v>
      </c>
      <c r="D334" s="37">
        <v>1.5019480146031525</v>
      </c>
      <c r="E334" s="9">
        <v>8.0164175697667109E-3</v>
      </c>
      <c r="F334" s="11">
        <v>0.96789999999999998</v>
      </c>
      <c r="G334" s="8">
        <v>11660.267099999999</v>
      </c>
      <c r="H334" s="37">
        <v>-2.1448444010266252</v>
      </c>
      <c r="I334" s="37">
        <v>81739.481906400004</v>
      </c>
      <c r="J334" s="11">
        <v>1.2626999999999999</v>
      </c>
      <c r="K334" s="11">
        <v>64.469700000000003</v>
      </c>
      <c r="L334" s="38">
        <v>1</v>
      </c>
      <c r="M334" s="8">
        <v>117.2158</v>
      </c>
      <c r="N334" s="8">
        <v>10.901835289408758</v>
      </c>
      <c r="O334" s="8">
        <v>9.5951195600694986E-3</v>
      </c>
      <c r="P334" s="8">
        <v>0.13618232262282584</v>
      </c>
      <c r="Q334" s="8">
        <v>0.15909106174365278</v>
      </c>
      <c r="R334" s="41">
        <v>7.8778925526158516E-3</v>
      </c>
      <c r="S334" s="33">
        <v>0.12570431786897612</v>
      </c>
      <c r="T334" s="36">
        <v>44.6</v>
      </c>
      <c r="U334" s="34">
        <v>0.17348815833333334</v>
      </c>
      <c r="V334">
        <v>108.79290004683401</v>
      </c>
    </row>
    <row r="335" spans="1:22" x14ac:dyDescent="0.2">
      <c r="A335" s="35" t="s">
        <v>52</v>
      </c>
      <c r="B335" s="36">
        <v>2017</v>
      </c>
      <c r="C335" s="12">
        <v>3.9756417886464508</v>
      </c>
      <c r="D335" s="37">
        <v>4.4822678839945187</v>
      </c>
      <c r="E335" s="9">
        <v>-3.156737042003669E-2</v>
      </c>
      <c r="F335" s="11">
        <v>0.97899999999999998</v>
      </c>
      <c r="G335" s="8">
        <v>10195.819</v>
      </c>
      <c r="H335" s="37">
        <v>-12.559301493187919</v>
      </c>
      <c r="I335" s="37">
        <v>171529.63444152</v>
      </c>
      <c r="J335" s="11">
        <v>1.1512</v>
      </c>
      <c r="K335" s="11">
        <v>69.113</v>
      </c>
      <c r="L335" s="38">
        <v>1</v>
      </c>
      <c r="M335" s="8">
        <v>144.42339999999999</v>
      </c>
      <c r="N335" s="8">
        <v>11.883528333883298</v>
      </c>
      <c r="O335" s="8">
        <v>7.6902432578087113E-3</v>
      </c>
      <c r="P335" s="8">
        <v>8.4291138560254705E-2</v>
      </c>
      <c r="Q335" s="8">
        <v>0.19678908343807325</v>
      </c>
      <c r="R335" s="41">
        <v>7.43338933635934E-3</v>
      </c>
      <c r="S335" s="33">
        <v>-1.4557344380430779E-2</v>
      </c>
      <c r="T335" s="36">
        <v>44</v>
      </c>
      <c r="U335" s="34">
        <v>6.9751091666666667E-2</v>
      </c>
      <c r="V335">
        <v>112.166141081871</v>
      </c>
    </row>
    <row r="336" spans="1:22" x14ac:dyDescent="0.2">
      <c r="A336" s="35" t="s">
        <v>52</v>
      </c>
      <c r="B336" s="36">
        <v>2018</v>
      </c>
      <c r="C336" s="12">
        <v>0.84629135306765324</v>
      </c>
      <c r="D336" s="37">
        <v>0.97793634959900644</v>
      </c>
      <c r="E336" s="9">
        <v>5.6911977821183964E-3</v>
      </c>
      <c r="F336" s="11">
        <v>0.9758</v>
      </c>
      <c r="G336" s="8">
        <v>9566.8610000000008</v>
      </c>
      <c r="H336" s="37">
        <v>-6.1687834984124255</v>
      </c>
      <c r="I336" s="37">
        <v>173682.43542705002</v>
      </c>
      <c r="J336" s="11">
        <v>1.0027999999999999</v>
      </c>
      <c r="K336" s="11">
        <v>69.488</v>
      </c>
      <c r="L336" s="38">
        <v>1</v>
      </c>
      <c r="M336" s="8">
        <v>162.2466</v>
      </c>
      <c r="N336" s="8">
        <v>11.969582742186288</v>
      </c>
      <c r="O336" s="8">
        <v>7.5515081592107116E-3</v>
      </c>
      <c r="P336" s="8">
        <v>0.10094112051626344</v>
      </c>
      <c r="Q336" s="8">
        <v>0.22274340527577938</v>
      </c>
      <c r="R336" s="41">
        <v>7.3712133569511576E-3</v>
      </c>
      <c r="S336" s="33">
        <v>2.2317420335519114E-2</v>
      </c>
      <c r="T336" s="36">
        <v>45.2</v>
      </c>
      <c r="U336" s="34">
        <v>9.823383333333334E-2</v>
      </c>
      <c r="V336">
        <v>110.42317934106001</v>
      </c>
    </row>
    <row r="337" spans="1:22" x14ac:dyDescent="0.2">
      <c r="A337" s="35" t="s">
        <v>52</v>
      </c>
      <c r="B337" s="36">
        <v>2019</v>
      </c>
      <c r="C337" s="12">
        <v>0.87174671862432773</v>
      </c>
      <c r="D337" s="37">
        <v>1.5281367401745016</v>
      </c>
      <c r="E337" s="9">
        <v>-4.6603259648861914E-4</v>
      </c>
      <c r="F337" s="11">
        <v>0.96619999999999995</v>
      </c>
      <c r="G337" s="8">
        <v>9729.7019999999993</v>
      </c>
      <c r="H337" s="37">
        <v>1.7021361552132777</v>
      </c>
      <c r="I337" s="37">
        <v>155234.94389451999</v>
      </c>
      <c r="J337" s="11">
        <v>1.0327999999999999</v>
      </c>
      <c r="K337" s="11">
        <v>69.331199999999995</v>
      </c>
      <c r="L337" s="38">
        <v>1</v>
      </c>
      <c r="M337" s="8">
        <v>174.84870000000001</v>
      </c>
      <c r="N337" s="8">
        <v>11.962947391811793</v>
      </c>
      <c r="O337" s="8">
        <v>6.5755285075991664E-3</v>
      </c>
      <c r="P337" s="8">
        <v>8.2416349895377147E-2</v>
      </c>
      <c r="Q337" s="8">
        <v>0.23731588474647389</v>
      </c>
      <c r="R337" s="41">
        <v>7.593449432986882E-3</v>
      </c>
      <c r="S337" s="33">
        <v>1.5297507443604967E-2</v>
      </c>
      <c r="T337" s="36">
        <v>45.2</v>
      </c>
      <c r="U337" s="34">
        <v>0.16861495833333337</v>
      </c>
      <c r="V337">
        <v>109.009665900863</v>
      </c>
    </row>
    <row r="338" spans="1:22" x14ac:dyDescent="0.2">
      <c r="A338" s="35" t="s">
        <v>52</v>
      </c>
      <c r="B338" s="36">
        <v>2020</v>
      </c>
      <c r="C338" s="12">
        <v>0.68902643608490788</v>
      </c>
      <c r="D338" s="37">
        <v>0.5346163425574223</v>
      </c>
      <c r="E338" s="9">
        <v>1.6938495793798702E-2</v>
      </c>
      <c r="F338" s="11">
        <v>0.96479999999999999</v>
      </c>
      <c r="G338" s="8">
        <v>12978.838</v>
      </c>
      <c r="H338" s="37">
        <v>33.39399295065769</v>
      </c>
      <c r="I338" s="37">
        <v>156242.22868771999</v>
      </c>
      <c r="J338" s="11">
        <v>0.96640000000000004</v>
      </c>
      <c r="K338" s="11">
        <v>73.23</v>
      </c>
      <c r="L338" s="38">
        <v>1</v>
      </c>
      <c r="M338" s="8">
        <v>194.6207</v>
      </c>
      <c r="N338" s="8">
        <v>12.014886978735522</v>
      </c>
      <c r="O338" s="8">
        <v>6.1325727064907003E-3</v>
      </c>
      <c r="P338" s="8">
        <v>0.1067766333399161</v>
      </c>
      <c r="Q338" s="8">
        <v>0.30922704226757108</v>
      </c>
      <c r="R338" s="41">
        <v>7.5524253252410248E-3</v>
      </c>
      <c r="S338" s="33">
        <v>-1.3521754698139338E-2</v>
      </c>
      <c r="T338" s="36">
        <v>45.4</v>
      </c>
      <c r="U338" s="34">
        <v>0.19133301666666666</v>
      </c>
      <c r="V338">
        <v>106.77458226243699</v>
      </c>
    </row>
    <row r="339" spans="1:22" x14ac:dyDescent="0.2">
      <c r="A339" s="35" t="s">
        <v>52</v>
      </c>
      <c r="B339" s="36">
        <v>2021</v>
      </c>
      <c r="C339" s="37">
        <v>0.60004260411029409</v>
      </c>
      <c r="D339" s="37">
        <v>-4.5234000929847289</v>
      </c>
      <c r="E339" s="9">
        <v>6.2747821605086782E-2</v>
      </c>
      <c r="F339" s="37">
        <v>0.96950000000000003</v>
      </c>
      <c r="G339" s="37">
        <v>11888.094999999999</v>
      </c>
      <c r="H339" s="37">
        <v>-8.4040112065502353</v>
      </c>
      <c r="I339" s="37">
        <v>162515.55048383999</v>
      </c>
      <c r="J339" s="37">
        <v>0.95379999999999998</v>
      </c>
      <c r="K339" s="37">
        <v>68.739199999999997</v>
      </c>
      <c r="L339" s="38">
        <v>1</v>
      </c>
      <c r="M339" s="37">
        <v>510.55290000000002</v>
      </c>
      <c r="N339" s="37">
        <v>12.237801904702691</v>
      </c>
      <c r="O339" s="37">
        <v>7.039252580779953E-3</v>
      </c>
      <c r="P339" s="38">
        <v>0.28105165709998808</v>
      </c>
      <c r="Q339" s="37">
        <v>0.11036783203987102</v>
      </c>
      <c r="R339" s="41">
        <v>7.0529301188840196E-3</v>
      </c>
      <c r="S339" s="33">
        <v>-8.566975901496245E-3</v>
      </c>
      <c r="T339" s="36">
        <v>45.6</v>
      </c>
      <c r="U339" s="34">
        <v>8.6284741666666664E-2</v>
      </c>
      <c r="V339">
        <v>109.754323839417</v>
      </c>
    </row>
    <row r="340" spans="1:22" x14ac:dyDescent="0.2">
      <c r="A340" s="35" t="s">
        <v>52</v>
      </c>
      <c r="B340" s="36">
        <v>2022</v>
      </c>
      <c r="C340" s="37">
        <v>0.59872249875994843</v>
      </c>
      <c r="D340" s="37">
        <v>0.37525338449014489</v>
      </c>
      <c r="E340" s="9">
        <v>1.4395739181899087E-2</v>
      </c>
      <c r="F340" s="37">
        <v>0.97170000000000001</v>
      </c>
      <c r="G340" s="37">
        <v>11216.359</v>
      </c>
      <c r="H340" s="37">
        <v>-5.6504932034947482</v>
      </c>
      <c r="I340" s="37">
        <v>136902.90090086375</v>
      </c>
      <c r="J340" s="37">
        <v>0.95509999999999995</v>
      </c>
      <c r="K340" s="37">
        <v>66.0047</v>
      </c>
      <c r="L340" s="38">
        <v>1</v>
      </c>
      <c r="M340" s="37">
        <v>606.88490000000002</v>
      </c>
      <c r="N340" s="37">
        <v>12.198372791089252</v>
      </c>
      <c r="O340" s="37">
        <v>7.9798566633435646E-3</v>
      </c>
      <c r="P340" s="38">
        <v>0.29910118679520925</v>
      </c>
      <c r="Q340" s="37">
        <v>5.2482623621508524E-2</v>
      </c>
      <c r="R340" s="41">
        <v>6.8594106146653584E-3</v>
      </c>
      <c r="S340" s="33">
        <v>-0.15470779172132842</v>
      </c>
      <c r="T340" s="36">
        <v>46.3</v>
      </c>
      <c r="U340" s="34">
        <v>0.19251043333333331</v>
      </c>
      <c r="V340">
        <v>131.49814044376399</v>
      </c>
    </row>
    <row r="341" spans="1:22" x14ac:dyDescent="0.2">
      <c r="A341" s="35"/>
      <c r="B341" s="36"/>
      <c r="C341" s="37"/>
      <c r="D341" s="37"/>
      <c r="E341" s="9"/>
      <c r="F341" s="37"/>
      <c r="G341" s="37"/>
      <c r="H341" s="37"/>
      <c r="I341" s="37"/>
      <c r="J341" s="37"/>
      <c r="K341" s="37"/>
      <c r="L341" s="38"/>
      <c r="M341" s="37"/>
      <c r="N341" s="37"/>
      <c r="O341" s="37"/>
      <c r="P341" s="38"/>
      <c r="Q341" s="37"/>
      <c r="R341" s="41"/>
      <c r="S341" s="33"/>
      <c r="T341" s="36"/>
      <c r="U341" s="34"/>
      <c r="V341"/>
    </row>
    <row r="342" spans="1:22" x14ac:dyDescent="0.2">
      <c r="A342" s="35" t="s">
        <v>53</v>
      </c>
      <c r="B342" s="36">
        <v>2014</v>
      </c>
      <c r="C342" s="12">
        <v>5.6625446830092621</v>
      </c>
      <c r="D342" s="37">
        <v>-0.25821296433289653</v>
      </c>
      <c r="E342" s="9">
        <v>1.3029932794391312E-2</v>
      </c>
      <c r="F342" s="11">
        <v>0.99590000000000001</v>
      </c>
      <c r="G342" s="8">
        <v>272674.53000000003</v>
      </c>
      <c r="H342" s="38">
        <v>-9.9782590559287279</v>
      </c>
      <c r="I342" s="37">
        <v>77249.751427800002</v>
      </c>
      <c r="J342" s="11">
        <v>0.99070000000000003</v>
      </c>
      <c r="K342" s="11">
        <v>45.9893</v>
      </c>
      <c r="L342" s="38">
        <v>1</v>
      </c>
      <c r="M342" s="8">
        <v>218.03980000000001</v>
      </c>
      <c r="N342" s="8">
        <v>10.749850590398594</v>
      </c>
      <c r="O342" s="8">
        <v>2.4260765641173392E-2</v>
      </c>
      <c r="P342" s="8">
        <v>8.0764751143972482E-2</v>
      </c>
      <c r="Q342" s="8">
        <v>0.2940106559693787</v>
      </c>
      <c r="R342" s="41">
        <v>8.8662550651772108E-3</v>
      </c>
      <c r="S342" s="33">
        <v>-6.0497682581134235E-2</v>
      </c>
      <c r="T342" s="36">
        <v>43</v>
      </c>
      <c r="U342" s="34">
        <v>0.10612881666666664</v>
      </c>
      <c r="V342">
        <v>105.944781034025</v>
      </c>
    </row>
    <row r="343" spans="1:22" x14ac:dyDescent="0.2">
      <c r="A343" s="35" t="s">
        <v>53</v>
      </c>
      <c r="B343" s="36">
        <v>2015</v>
      </c>
      <c r="C343" s="12">
        <v>5.9192239590911457</v>
      </c>
      <c r="D343" s="37">
        <v>0.2267251379276824</v>
      </c>
      <c r="E343" s="9">
        <v>1.1304495292789563E-2</v>
      </c>
      <c r="F343" s="11">
        <v>1.0168999999999999</v>
      </c>
      <c r="G343" s="8">
        <v>247480.85</v>
      </c>
      <c r="H343" s="38">
        <v>-9.2394694876708936</v>
      </c>
      <c r="I343" s="37">
        <v>32445.270744810001</v>
      </c>
      <c r="J343" s="11">
        <v>1.1696</v>
      </c>
      <c r="K343" s="11">
        <v>42.2164</v>
      </c>
      <c r="L343" s="38">
        <v>1</v>
      </c>
      <c r="M343" s="8">
        <v>209.62880000000001</v>
      </c>
      <c r="N343" s="8">
        <v>10.622652630523051</v>
      </c>
      <c r="O343" s="8">
        <v>2.2719881550595643E-2</v>
      </c>
      <c r="P343" s="8">
        <v>0.1014873623924596</v>
      </c>
      <c r="Q343" s="8">
        <v>0.22478419023336507</v>
      </c>
      <c r="R343" s="41">
        <v>9.3980357351478687E-3</v>
      </c>
      <c r="S343" s="33">
        <v>-9.2314533358446485E-2</v>
      </c>
      <c r="T343" s="36">
        <v>44.8</v>
      </c>
      <c r="U343" s="34">
        <v>0.16251885833333332</v>
      </c>
      <c r="V343">
        <v>121.044025684011</v>
      </c>
    </row>
    <row r="344" spans="1:22" x14ac:dyDescent="0.2">
      <c r="A344" s="35" t="s">
        <v>53</v>
      </c>
      <c r="B344" s="36">
        <v>2016</v>
      </c>
      <c r="C344" s="12">
        <v>5.8559220262980141</v>
      </c>
      <c r="D344" s="37">
        <v>0.80932363375848282</v>
      </c>
      <c r="E344" s="9">
        <v>1.0115335760442793E-2</v>
      </c>
      <c r="F344" s="11">
        <v>1.0117</v>
      </c>
      <c r="G344" s="8">
        <v>272887.03999999998</v>
      </c>
      <c r="H344" s="38">
        <v>10.265921585447915</v>
      </c>
      <c r="I344" s="37">
        <v>21176.427734280001</v>
      </c>
      <c r="J344" s="11">
        <v>1.2214</v>
      </c>
      <c r="K344" s="11">
        <v>45.460299999999997</v>
      </c>
      <c r="L344" s="38">
        <v>1</v>
      </c>
      <c r="M344" s="8">
        <v>269.21690000000001</v>
      </c>
      <c r="N344" s="8">
        <v>10.617073540339812</v>
      </c>
      <c r="O344" s="8">
        <v>2.420654784591374E-2</v>
      </c>
      <c r="P344" s="8">
        <v>0.1064518637556055</v>
      </c>
      <c r="Q344" s="8">
        <v>0.2766212271531534</v>
      </c>
      <c r="R344" s="41">
        <v>8.6484673183451957E-3</v>
      </c>
      <c r="S344" s="33">
        <v>0.12570431786897612</v>
      </c>
      <c r="T344" s="36">
        <v>44.6</v>
      </c>
      <c r="U344" s="34">
        <v>0.17348815833333334</v>
      </c>
      <c r="V344">
        <v>108.79290004683401</v>
      </c>
    </row>
    <row r="345" spans="1:22" x14ac:dyDescent="0.2">
      <c r="A345" s="35" t="s">
        <v>53</v>
      </c>
      <c r="B345" s="36">
        <v>2017</v>
      </c>
      <c r="C345" s="12">
        <v>6.1168862628654912</v>
      </c>
      <c r="D345" s="37">
        <v>1.0618936827215428</v>
      </c>
      <c r="E345" s="9">
        <v>-7.5800893402535045E-4</v>
      </c>
      <c r="F345" s="11">
        <v>1.0129999999999999</v>
      </c>
      <c r="G345" s="8">
        <v>272887.04300000001</v>
      </c>
      <c r="H345" s="38">
        <v>1.0993559921632894E-6</v>
      </c>
      <c r="I345" s="37">
        <v>11577.288346400002</v>
      </c>
      <c r="J345" s="11">
        <v>1.1907000000000001</v>
      </c>
      <c r="K345" s="11">
        <v>48.983499999999999</v>
      </c>
      <c r="L345" s="38">
        <v>1</v>
      </c>
      <c r="M345" s="8">
        <v>266.68880000000001</v>
      </c>
      <c r="N345" s="8">
        <v>10.626201166376463</v>
      </c>
      <c r="O345" s="8">
        <v>1.9818822935459009E-2</v>
      </c>
      <c r="P345" s="8">
        <v>0.10255746980416244</v>
      </c>
      <c r="Q345" s="8">
        <v>0.41539165427832614</v>
      </c>
      <c r="R345" s="41">
        <v>8.9533822019436139E-3</v>
      </c>
      <c r="S345" s="33">
        <v>-1.4557344380430779E-2</v>
      </c>
      <c r="T345" s="36">
        <v>44</v>
      </c>
      <c r="U345" s="34">
        <v>6.9751091666666667E-2</v>
      </c>
      <c r="V345">
        <v>112.166141081871</v>
      </c>
    </row>
    <row r="346" spans="1:22" x14ac:dyDescent="0.2">
      <c r="A346" s="35" t="s">
        <v>53</v>
      </c>
      <c r="B346" s="36">
        <v>2018</v>
      </c>
      <c r="C346" s="12">
        <v>5.8168478676995612</v>
      </c>
      <c r="D346" s="37">
        <v>0.32757663193093411</v>
      </c>
      <c r="E346" s="9">
        <v>8.1437971537740902E-3</v>
      </c>
      <c r="F346" s="11">
        <v>1.0118</v>
      </c>
      <c r="G346" s="8">
        <v>284968.06</v>
      </c>
      <c r="H346" s="38">
        <v>4.4271127229738028</v>
      </c>
      <c r="I346" s="37">
        <v>6549.1559723999999</v>
      </c>
      <c r="J346" s="11">
        <v>1.2544</v>
      </c>
      <c r="K346" s="11">
        <v>50.252099999999999</v>
      </c>
      <c r="L346" s="38">
        <v>1</v>
      </c>
      <c r="M346" s="8">
        <v>282.52949999999998</v>
      </c>
      <c r="N346" s="8">
        <v>10.741840558873186</v>
      </c>
      <c r="O346" s="8">
        <v>1.6389370853187122E-2</v>
      </c>
      <c r="P346" s="8">
        <v>9.5223678078239934E-2</v>
      </c>
      <c r="Q346" s="8">
        <v>0.51940947787739289</v>
      </c>
      <c r="R346" s="41">
        <v>8.9327163862747989E-3</v>
      </c>
      <c r="S346" s="33">
        <v>2.2317420335519114E-2</v>
      </c>
      <c r="T346" s="36">
        <v>45.2</v>
      </c>
      <c r="U346" s="34">
        <v>9.823383333333334E-2</v>
      </c>
      <c r="V346">
        <v>110.42317934106001</v>
      </c>
    </row>
    <row r="347" spans="1:22" x14ac:dyDescent="0.2">
      <c r="A347" s="35" t="s">
        <v>53</v>
      </c>
      <c r="B347" s="36">
        <v>2019</v>
      </c>
      <c r="C347" s="12">
        <v>4.650716209359036</v>
      </c>
      <c r="D347" s="37">
        <v>0.3292894612686863</v>
      </c>
      <c r="E347" s="9">
        <v>1.0992895940121428E-2</v>
      </c>
      <c r="F347" s="11">
        <v>0.97529999999999994</v>
      </c>
      <c r="G347" s="8">
        <v>233665.69</v>
      </c>
      <c r="H347" s="38">
        <v>-18.00284916141128</v>
      </c>
      <c r="I347" s="37">
        <v>14089.999601699999</v>
      </c>
      <c r="J347" s="11">
        <v>1.1988000000000001</v>
      </c>
      <c r="K347" s="11">
        <v>51.411999999999999</v>
      </c>
      <c r="L347" s="38">
        <v>1</v>
      </c>
      <c r="M347" s="8">
        <v>297.42189999999999</v>
      </c>
      <c r="N347" s="8">
        <v>10.767243716803888</v>
      </c>
      <c r="O347" s="8">
        <v>1.5905992355421672E-2</v>
      </c>
      <c r="P347" s="8">
        <v>0.10249767500531044</v>
      </c>
      <c r="Q347" s="8">
        <v>0.98617116591608955</v>
      </c>
      <c r="R347" s="41">
        <v>8.7576926836112727E-3</v>
      </c>
      <c r="S347" s="33">
        <v>1.5297507443604967E-2</v>
      </c>
      <c r="T347" s="36">
        <v>45.2</v>
      </c>
      <c r="U347" s="34">
        <v>0.16861495833333337</v>
      </c>
      <c r="V347">
        <v>109.009665900863</v>
      </c>
    </row>
    <row r="348" spans="1:22" x14ac:dyDescent="0.2">
      <c r="A348" s="35" t="s">
        <v>53</v>
      </c>
      <c r="B348" s="36">
        <v>2020</v>
      </c>
      <c r="C348" s="12">
        <v>3.5837343246737263</v>
      </c>
      <c r="D348" s="37">
        <v>0.52621778850008727</v>
      </c>
      <c r="E348" s="9">
        <v>2.0098386706656486E-2</v>
      </c>
      <c r="F348" s="11">
        <v>0.9647</v>
      </c>
      <c r="G348" s="8">
        <v>242699.45</v>
      </c>
      <c r="H348" s="38">
        <v>3.8661046044029868</v>
      </c>
      <c r="I348" s="37">
        <v>26312.219411739999</v>
      </c>
      <c r="J348" s="11">
        <v>1.105</v>
      </c>
      <c r="K348" s="11">
        <v>51.375300000000003</v>
      </c>
      <c r="L348" s="38">
        <v>1</v>
      </c>
      <c r="M348" s="8">
        <v>293.71710000000002</v>
      </c>
      <c r="N348" s="8">
        <v>10.803090360345918</v>
      </c>
      <c r="O348" s="8">
        <v>1.7806632743162302E-2</v>
      </c>
      <c r="P348" s="8">
        <v>6.6787293101391407E-2</v>
      </c>
      <c r="Q348" s="8">
        <v>1.0757373316629029</v>
      </c>
      <c r="R348" s="41">
        <v>8.8942551329293379E-3</v>
      </c>
      <c r="S348" s="33">
        <v>-1.3521754698139338E-2</v>
      </c>
      <c r="T348" s="36">
        <v>45.4</v>
      </c>
      <c r="U348" s="34">
        <v>0.19133301666666666</v>
      </c>
      <c r="V348">
        <v>106.77458226243699</v>
      </c>
    </row>
    <row r="349" spans="1:22" x14ac:dyDescent="0.2">
      <c r="A349" s="35" t="s">
        <v>53</v>
      </c>
      <c r="B349" s="36">
        <v>2021</v>
      </c>
      <c r="C349" s="37">
        <v>3.5017673974234849</v>
      </c>
      <c r="D349" s="37">
        <v>-5.7054252114726669</v>
      </c>
      <c r="E349" s="9">
        <v>7.2404729970493242E-2</v>
      </c>
      <c r="F349" s="37">
        <v>0.96640000000000004</v>
      </c>
      <c r="G349" s="37">
        <v>182452.66</v>
      </c>
      <c r="H349" s="38">
        <v>-24.823620325468397</v>
      </c>
      <c r="I349" s="37">
        <v>24729.835905479998</v>
      </c>
      <c r="J349" s="37">
        <v>1.0933999999999999</v>
      </c>
      <c r="K349" s="37">
        <v>59.463500000000003</v>
      </c>
      <c r="L349" s="38">
        <v>1</v>
      </c>
      <c r="M349" s="37">
        <v>243.52780000000001</v>
      </c>
      <c r="N349" s="37">
        <v>10.887306973037814</v>
      </c>
      <c r="O349" s="37">
        <v>1.6922727270971643E-2</v>
      </c>
      <c r="P349" s="38">
        <v>0.14313074957426805</v>
      </c>
      <c r="Q349" s="37">
        <v>0.45431935489396735</v>
      </c>
      <c r="R349" s="41">
        <v>7.4939770859785313E-3</v>
      </c>
      <c r="S349" s="33">
        <v>-8.566975901496245E-3</v>
      </c>
      <c r="T349" s="36">
        <v>45.6</v>
      </c>
      <c r="U349" s="34">
        <v>8.6284741666666664E-2</v>
      </c>
      <c r="V349">
        <v>109.754323839417</v>
      </c>
    </row>
    <row r="350" spans="1:22" x14ac:dyDescent="0.2">
      <c r="A350" s="35" t="s">
        <v>53</v>
      </c>
      <c r="B350" s="36">
        <v>2022</v>
      </c>
      <c r="C350" s="37">
        <v>3.6571714931253596</v>
      </c>
      <c r="D350" s="37">
        <v>3.2951239856988366</v>
      </c>
      <c r="E350" s="9">
        <v>-1.7761128246510244E-2</v>
      </c>
      <c r="F350" s="37">
        <v>0.97160000000000002</v>
      </c>
      <c r="G350" s="37">
        <v>121364.13</v>
      </c>
      <c r="H350" s="38">
        <v>-33.481852224023477</v>
      </c>
      <c r="I350" s="37">
        <v>26766.24364307625</v>
      </c>
      <c r="J350" s="37">
        <v>0.99690000000000001</v>
      </c>
      <c r="K350" s="37">
        <v>55.174599999999998</v>
      </c>
      <c r="L350" s="38">
        <v>1</v>
      </c>
      <c r="M350" s="37">
        <v>240.93459999999999</v>
      </c>
      <c r="N350" s="37">
        <v>10.92147756491881</v>
      </c>
      <c r="O350" s="37">
        <v>1.439720705487019E-2</v>
      </c>
      <c r="P350" s="38">
        <v>0.1566721648500031</v>
      </c>
      <c r="Q350" s="37">
        <v>0.31374996240714564</v>
      </c>
      <c r="R350" s="41">
        <v>6.9402906321171095E-3</v>
      </c>
      <c r="S350" s="33">
        <v>-0.15470779172132842</v>
      </c>
      <c r="T350" s="36">
        <v>46.3</v>
      </c>
      <c r="U350" s="34">
        <v>0.19251043333333331</v>
      </c>
      <c r="V350">
        <v>131.49814044376399</v>
      </c>
    </row>
    <row r="351" spans="1:22" x14ac:dyDescent="0.2">
      <c r="A351" s="35"/>
      <c r="B351" s="36"/>
      <c r="C351" s="37"/>
      <c r="D351" s="37"/>
      <c r="E351" s="9"/>
      <c r="F351" s="37"/>
      <c r="G351" s="37"/>
      <c r="H351" s="38"/>
      <c r="I351" s="37"/>
      <c r="J351" s="37"/>
      <c r="K351" s="37"/>
      <c r="L351" s="38"/>
      <c r="M351" s="37"/>
      <c r="N351" s="37"/>
      <c r="O351" s="37"/>
      <c r="P351" s="38"/>
      <c r="Q351" s="37"/>
      <c r="R351" s="41"/>
      <c r="S351" s="33"/>
      <c r="T351" s="36"/>
      <c r="U351" s="34"/>
      <c r="V351"/>
    </row>
    <row r="352" spans="1:22" x14ac:dyDescent="0.2">
      <c r="A352" s="35" t="s">
        <v>55</v>
      </c>
      <c r="B352" s="36">
        <v>2014</v>
      </c>
      <c r="C352" s="12">
        <v>3.0841066302508322</v>
      </c>
      <c r="D352" s="37">
        <v>0.26788709799404692</v>
      </c>
      <c r="E352" s="6">
        <v>1.2416186849834285E-2</v>
      </c>
      <c r="F352" s="11">
        <v>0.9708</v>
      </c>
      <c r="G352" s="8">
        <v>8864.1280000000006</v>
      </c>
      <c r="H352" s="38">
        <v>-9.9840138629116009</v>
      </c>
      <c r="I352" s="37">
        <v>136117.06715043</v>
      </c>
      <c r="J352" s="11">
        <v>1.0980000000000001</v>
      </c>
      <c r="K352" s="11">
        <v>67.575699999999998</v>
      </c>
      <c r="L352" s="38">
        <v>1</v>
      </c>
      <c r="M352" s="8">
        <v>38.792900000000003</v>
      </c>
      <c r="N352" s="8">
        <v>11.445508953588861</v>
      </c>
      <c r="O352" s="8">
        <v>1.449805447991276E-2</v>
      </c>
      <c r="P352" s="8">
        <v>9.0864052578588983E-2</v>
      </c>
      <c r="Q352" s="8">
        <v>0.18048482010897249</v>
      </c>
      <c r="R352" s="41">
        <v>6.8221912915137619E-3</v>
      </c>
      <c r="S352" s="33">
        <v>-6.0497682581134235E-2</v>
      </c>
      <c r="T352" s="36">
        <v>43</v>
      </c>
      <c r="U352" s="34">
        <v>0.10612881666666664</v>
      </c>
      <c r="V352">
        <v>105.944781034025</v>
      </c>
    </row>
    <row r="353" spans="1:22" x14ac:dyDescent="0.2">
      <c r="A353" s="35" t="s">
        <v>55</v>
      </c>
      <c r="B353" s="36">
        <v>2015</v>
      </c>
      <c r="C353" s="12">
        <v>2.9313182296933356</v>
      </c>
      <c r="D353" s="37">
        <v>-0.1110387497374197</v>
      </c>
      <c r="E353" s="6">
        <v>1.6854707408241097E-2</v>
      </c>
      <c r="F353" s="11">
        <v>0.97689999999999999</v>
      </c>
      <c r="G353" s="8">
        <v>8776.5740000000005</v>
      </c>
      <c r="H353" s="38">
        <v>-0.98773393163997714</v>
      </c>
      <c r="I353" s="37">
        <v>97897.565116519996</v>
      </c>
      <c r="J353" s="11">
        <v>1.0998000000000001</v>
      </c>
      <c r="K353" s="11">
        <v>66.847300000000004</v>
      </c>
      <c r="L353" s="38">
        <v>1</v>
      </c>
      <c r="M353" s="8">
        <v>41.8536</v>
      </c>
      <c r="N353" s="8">
        <v>11.350351020990377</v>
      </c>
      <c r="O353" s="8">
        <v>1.193311202329567E-2</v>
      </c>
      <c r="P353" s="8">
        <v>9.2323560446497907E-2</v>
      </c>
      <c r="Q353" s="8">
        <v>0.17408201833259618</v>
      </c>
      <c r="R353" s="41">
        <v>6.77841678280495E-3</v>
      </c>
      <c r="S353" s="33">
        <v>-9.2314533358446485E-2</v>
      </c>
      <c r="T353" s="36">
        <v>44.8</v>
      </c>
      <c r="U353" s="34">
        <v>0.16251885833333332</v>
      </c>
      <c r="V353">
        <v>121.044025684011</v>
      </c>
    </row>
    <row r="354" spans="1:22" x14ac:dyDescent="0.2">
      <c r="A354" s="35" t="s">
        <v>55</v>
      </c>
      <c r="B354" s="36">
        <v>2016</v>
      </c>
      <c r="C354" s="12">
        <v>2.9662031066916748</v>
      </c>
      <c r="D354" s="37">
        <v>2.4654819605338107</v>
      </c>
      <c r="E354" s="6">
        <v>-5.5141385629763253E-3</v>
      </c>
      <c r="F354" s="11">
        <v>0.96860000000000002</v>
      </c>
      <c r="G354" s="8">
        <v>9611.4279999999999</v>
      </c>
      <c r="H354" s="38">
        <v>9.5122994462303776</v>
      </c>
      <c r="I354" s="37">
        <v>93654.411023320019</v>
      </c>
      <c r="J354" s="11">
        <v>1.0176000000000001</v>
      </c>
      <c r="K354" s="11">
        <v>63.656599999999997</v>
      </c>
      <c r="L354" s="38">
        <v>1</v>
      </c>
      <c r="M354" s="8">
        <v>36.275399999999998</v>
      </c>
      <c r="N354" s="8">
        <v>11.438010712995633</v>
      </c>
      <c r="O354" s="8">
        <v>1.0439244907072988E-2</v>
      </c>
      <c r="P354" s="8">
        <v>0.11083115720428179</v>
      </c>
      <c r="Q354" s="8">
        <v>0.15866543435312827</v>
      </c>
      <c r="R354" s="41">
        <v>6.7968646925746596E-3</v>
      </c>
      <c r="S354" s="33">
        <v>0.12570431786897612</v>
      </c>
      <c r="T354" s="36">
        <v>44.6</v>
      </c>
      <c r="U354" s="34">
        <v>0.17348815833333334</v>
      </c>
      <c r="V354">
        <v>108.79290004683401</v>
      </c>
    </row>
    <row r="355" spans="1:22" x14ac:dyDescent="0.2">
      <c r="A355" s="35" t="s">
        <v>55</v>
      </c>
      <c r="B355" s="36">
        <v>2017</v>
      </c>
      <c r="C355" s="12">
        <v>2.9434717494035443</v>
      </c>
      <c r="D355" s="37">
        <v>2.7340901355763032</v>
      </c>
      <c r="E355" s="6">
        <v>-1.7187404581316422E-2</v>
      </c>
      <c r="F355" s="11">
        <v>0.96919999999999995</v>
      </c>
      <c r="G355" s="8">
        <v>9001.4989999999998</v>
      </c>
      <c r="H355" s="38">
        <v>-6.3458728505275186</v>
      </c>
      <c r="I355" s="37">
        <v>81183.385748200002</v>
      </c>
      <c r="J355" s="11">
        <v>0.9728</v>
      </c>
      <c r="K355" s="11">
        <v>64.212699999999998</v>
      </c>
      <c r="L355" s="38">
        <v>1</v>
      </c>
      <c r="M355" s="8">
        <v>35.180300000000003</v>
      </c>
      <c r="N355" s="8">
        <v>11.428103536660352</v>
      </c>
      <c r="O355" s="8">
        <v>8.0374689756613424E-3</v>
      </c>
      <c r="P355" s="8">
        <v>9.0967318984521928E-2</v>
      </c>
      <c r="Q355" s="8">
        <v>0.1629766056120471</v>
      </c>
      <c r="R355" s="41">
        <v>7.3321592907409586E-3</v>
      </c>
      <c r="S355" s="33">
        <v>-1.4557344380430779E-2</v>
      </c>
      <c r="T355" s="36">
        <v>44</v>
      </c>
      <c r="U355" s="34">
        <v>6.9751091666666667E-2</v>
      </c>
      <c r="V355">
        <v>112.166141081871</v>
      </c>
    </row>
    <row r="356" spans="1:22" x14ac:dyDescent="0.2">
      <c r="A356" s="35" t="s">
        <v>55</v>
      </c>
      <c r="B356" s="36">
        <v>2018</v>
      </c>
      <c r="C356" s="12">
        <v>3.0831260546136465</v>
      </c>
      <c r="D356" s="37">
        <v>0.30307868080621159</v>
      </c>
      <c r="E356" s="6">
        <v>9.2333301540155517E-3</v>
      </c>
      <c r="F356" s="11">
        <v>0.96750000000000003</v>
      </c>
      <c r="G356" s="8">
        <v>9649.8209999999999</v>
      </c>
      <c r="H356" s="38">
        <v>7.2023781816784078</v>
      </c>
      <c r="I356" s="37">
        <v>84175.737007500007</v>
      </c>
      <c r="J356" s="11">
        <v>0.99260000000000004</v>
      </c>
      <c r="K356" s="11">
        <v>60.47</v>
      </c>
      <c r="L356" s="38">
        <v>1</v>
      </c>
      <c r="M356" s="8">
        <v>30.810199999999998</v>
      </c>
      <c r="N356" s="8">
        <v>11.488582129725422</v>
      </c>
      <c r="O356" s="8">
        <v>7.2033520207371322E-3</v>
      </c>
      <c r="P356" s="8">
        <v>9.2332073365838305E-2</v>
      </c>
      <c r="Q356" s="8">
        <v>0.16787940030032242</v>
      </c>
      <c r="R356" s="41">
        <v>7.6698177188462974E-3</v>
      </c>
      <c r="S356" s="33">
        <v>2.2317420335519114E-2</v>
      </c>
      <c r="T356" s="36">
        <v>45.2</v>
      </c>
      <c r="U356" s="34">
        <v>9.823383333333334E-2</v>
      </c>
      <c r="V356">
        <v>110.42317934106001</v>
      </c>
    </row>
    <row r="357" spans="1:22" x14ac:dyDescent="0.2">
      <c r="A357" s="35" t="s">
        <v>55</v>
      </c>
      <c r="B357" s="36">
        <v>2019</v>
      </c>
      <c r="C357" s="12">
        <v>2.3170682632029624</v>
      </c>
      <c r="D357" s="37">
        <v>0.38355425493630146</v>
      </c>
      <c r="E357" s="6">
        <v>1.3176975347541866E-2</v>
      </c>
      <c r="F357" s="11">
        <v>0.95950000000000002</v>
      </c>
      <c r="G357" s="8">
        <v>9633.7070000000003</v>
      </c>
      <c r="H357" s="38">
        <v>-0.16698755344787825</v>
      </c>
      <c r="I357" s="37">
        <v>83794.966254879997</v>
      </c>
      <c r="J357" s="11">
        <v>0.97240000000000004</v>
      </c>
      <c r="K357" s="11">
        <v>64.062399999999997</v>
      </c>
      <c r="L357" s="38">
        <v>1</v>
      </c>
      <c r="M357" s="8">
        <v>40.094099999999997</v>
      </c>
      <c r="N357" s="8">
        <v>11.44060023770518</v>
      </c>
      <c r="O357" s="8">
        <v>7.6812286250268003E-3</v>
      </c>
      <c r="P357" s="8">
        <v>9.8362895343012208E-2</v>
      </c>
      <c r="Q357" s="8">
        <v>0.31650417896570682</v>
      </c>
      <c r="R357" s="41">
        <v>8.0458502352747634E-3</v>
      </c>
      <c r="S357" s="33">
        <v>1.5297507443604967E-2</v>
      </c>
      <c r="T357" s="36">
        <v>45.2</v>
      </c>
      <c r="U357" s="34">
        <v>0.16861495833333337</v>
      </c>
      <c r="V357">
        <v>109.009665900863</v>
      </c>
    </row>
    <row r="358" spans="1:22" x14ac:dyDescent="0.2">
      <c r="A358" s="35" t="s">
        <v>55</v>
      </c>
      <c r="B358" s="36">
        <v>2020</v>
      </c>
      <c r="C358" s="37">
        <v>2.4311089712481353</v>
      </c>
      <c r="D358" s="37">
        <v>-0.30907292602557956</v>
      </c>
      <c r="E358" s="40">
        <v>2.7395810581884429E-2</v>
      </c>
      <c r="F358" s="37">
        <v>0.95579999999999998</v>
      </c>
      <c r="G358" s="37">
        <v>11198.761</v>
      </c>
      <c r="H358" s="38">
        <v>16.245605144520173</v>
      </c>
      <c r="I358" s="37">
        <v>91392.739402320003</v>
      </c>
      <c r="J358" s="37">
        <v>0.98240000000000005</v>
      </c>
      <c r="K358" s="37">
        <v>59.381999999999998</v>
      </c>
      <c r="L358" s="38">
        <v>1</v>
      </c>
      <c r="M358" s="37">
        <v>44.8245</v>
      </c>
      <c r="N358" s="37">
        <v>11.496783165273984</v>
      </c>
      <c r="O358" s="37">
        <v>8.57542936312395E-3</v>
      </c>
      <c r="P358" s="38">
        <v>8.8225560401522615E-2</v>
      </c>
      <c r="Q358" s="37">
        <v>0.27881881093562916</v>
      </c>
      <c r="R358" s="41">
        <v>8.0551885267898405E-3</v>
      </c>
      <c r="S358" s="33">
        <v>-1.3521754698139338E-2</v>
      </c>
      <c r="T358" s="36">
        <v>45.4</v>
      </c>
      <c r="U358" s="34">
        <v>0.19133301666666666</v>
      </c>
      <c r="V358">
        <v>106.77458226243699</v>
      </c>
    </row>
    <row r="359" spans="1:22" x14ac:dyDescent="0.2">
      <c r="A359" s="35" t="s">
        <v>55</v>
      </c>
      <c r="B359" s="36">
        <v>2021</v>
      </c>
      <c r="C359" s="37">
        <v>2.2330080972737147</v>
      </c>
      <c r="D359" s="37">
        <v>-3.7258412897427871</v>
      </c>
      <c r="E359" s="40">
        <v>5.3083141005195129E-2</v>
      </c>
      <c r="F359" s="37">
        <v>0.95889999999999997</v>
      </c>
      <c r="G359" s="37">
        <v>13173.526</v>
      </c>
      <c r="H359" s="38">
        <v>17.633781094176395</v>
      </c>
      <c r="I359" s="37">
        <v>90530.318211629987</v>
      </c>
      <c r="J359" s="37">
        <v>1.0308999999999999</v>
      </c>
      <c r="K359" s="37">
        <v>59.026800000000001</v>
      </c>
      <c r="L359" s="38">
        <v>1</v>
      </c>
      <c r="M359" s="37">
        <v>169.27510000000001</v>
      </c>
      <c r="N359" s="37">
        <v>11.59388340323091</v>
      </c>
      <c r="O359" s="37">
        <v>9.2646602355463247E-3</v>
      </c>
      <c r="P359" s="38">
        <v>0.14829193040851771</v>
      </c>
      <c r="Q359" s="37">
        <v>0.15805137916479323</v>
      </c>
      <c r="R359" s="41">
        <v>7.9073776270570176E-3</v>
      </c>
      <c r="S359" s="33">
        <v>-8.566975901496245E-3</v>
      </c>
      <c r="T359" s="36">
        <v>45.6</v>
      </c>
      <c r="U359" s="34">
        <v>8.6284741666666664E-2</v>
      </c>
      <c r="V359">
        <v>109.754323839417</v>
      </c>
    </row>
    <row r="360" spans="1:22" x14ac:dyDescent="0.2">
      <c r="A360" s="35" t="s">
        <v>55</v>
      </c>
      <c r="B360" s="36">
        <v>2022</v>
      </c>
      <c r="C360" s="37">
        <v>-0.44521983699000517</v>
      </c>
      <c r="D360" s="37">
        <v>-2.5698203448230261</v>
      </c>
      <c r="E360" s="40">
        <v>4.3815742296974054E-2</v>
      </c>
      <c r="F360" s="37">
        <v>0.96150000000000002</v>
      </c>
      <c r="G360" s="37">
        <v>14246.72</v>
      </c>
      <c r="H360" s="38">
        <v>8.1465964389488406</v>
      </c>
      <c r="I360" s="37">
        <v>94843.273739349999</v>
      </c>
      <c r="J360" s="37">
        <v>0.89659999999999995</v>
      </c>
      <c r="K360" s="37">
        <v>81.212400000000002</v>
      </c>
      <c r="L360" s="38">
        <v>1</v>
      </c>
      <c r="M360" s="37">
        <v>163.6294</v>
      </c>
      <c r="N360" s="37">
        <v>11.515116383155242</v>
      </c>
      <c r="O360" s="37">
        <v>9.951996872183835E-3</v>
      </c>
      <c r="P360" s="38">
        <v>0.17543263010374088</v>
      </c>
      <c r="Q360" s="37">
        <v>-0.7155771250695091</v>
      </c>
      <c r="R360" s="41">
        <v>7.9094264219610154E-3</v>
      </c>
      <c r="S360" s="33">
        <v>-0.15470779172132842</v>
      </c>
      <c r="T360" s="36">
        <v>46.3</v>
      </c>
      <c r="U360" s="34">
        <v>0.19251043333333331</v>
      </c>
      <c r="V360">
        <v>131.49814044376399</v>
      </c>
    </row>
    <row r="361" spans="1:22" x14ac:dyDescent="0.2">
      <c r="A361" s="35"/>
      <c r="B361" s="36"/>
      <c r="C361" s="37"/>
      <c r="D361" s="37"/>
      <c r="E361" s="40"/>
      <c r="F361" s="37"/>
      <c r="G361" s="37"/>
      <c r="H361" s="38"/>
      <c r="I361" s="37"/>
      <c r="J361" s="37"/>
      <c r="K361" s="37"/>
      <c r="L361" s="38"/>
      <c r="M361" s="37"/>
      <c r="N361" s="37"/>
      <c r="O361" s="37"/>
      <c r="P361" s="38"/>
      <c r="Q361" s="37"/>
      <c r="R361" s="41"/>
      <c r="S361" s="33"/>
      <c r="T361" s="36"/>
      <c r="U361" s="34"/>
      <c r="V361"/>
    </row>
    <row r="362" spans="1:22" x14ac:dyDescent="0.2">
      <c r="A362" s="35" t="s">
        <v>56</v>
      </c>
      <c r="B362" s="36">
        <v>2014</v>
      </c>
      <c r="C362" s="12">
        <v>5.8992463825411319</v>
      </c>
      <c r="D362" s="37">
        <v>1.3172461521781738</v>
      </c>
      <c r="E362" s="9">
        <v>2.1653349792865885E-3</v>
      </c>
      <c r="F362" s="11">
        <v>0.98340000000000005</v>
      </c>
      <c r="G362" s="8">
        <v>22644.83</v>
      </c>
      <c r="H362" s="38">
        <v>-42.162950756280324</v>
      </c>
      <c r="I362" s="37">
        <v>197817.03662400003</v>
      </c>
      <c r="J362" s="11">
        <v>1.2049000000000001</v>
      </c>
      <c r="K362" s="11">
        <v>70.015500000000003</v>
      </c>
      <c r="L362" s="38">
        <v>1</v>
      </c>
      <c r="M362" s="8">
        <v>47.458500000000001</v>
      </c>
      <c r="N362" s="8">
        <v>11.588380372456285</v>
      </c>
      <c r="O362" s="8">
        <v>8.0702710624066497E-3</v>
      </c>
      <c r="P362" s="8">
        <v>6.7033292512638926E-2</v>
      </c>
      <c r="Q362" s="8">
        <v>0.17940635580700537</v>
      </c>
      <c r="R362" s="41">
        <v>7.2309174864352661E-3</v>
      </c>
      <c r="S362" s="33">
        <v>-6.0497682581134235E-2</v>
      </c>
      <c r="T362" s="36">
        <v>43</v>
      </c>
      <c r="U362" s="34">
        <v>0.10612881666666664</v>
      </c>
      <c r="V362">
        <v>105.944781034025</v>
      </c>
    </row>
    <row r="363" spans="1:22" x14ac:dyDescent="0.2">
      <c r="A363" s="35" t="s">
        <v>56</v>
      </c>
      <c r="B363" s="36">
        <v>2015</v>
      </c>
      <c r="C363" s="12">
        <v>5.9777772177907407</v>
      </c>
      <c r="D363" s="37">
        <v>0.52124762152020154</v>
      </c>
      <c r="E363" s="9">
        <v>1.2376350568157524E-2</v>
      </c>
      <c r="F363" s="11">
        <v>0.98640000000000005</v>
      </c>
      <c r="G363" s="8">
        <v>14285.67</v>
      </c>
      <c r="H363" s="38">
        <v>-36.914209556883407</v>
      </c>
      <c r="I363" s="37">
        <v>157698.59881986</v>
      </c>
      <c r="J363" s="11">
        <v>1.1984999999999999</v>
      </c>
      <c r="K363" s="11">
        <v>67.630700000000004</v>
      </c>
      <c r="L363" s="38">
        <v>1</v>
      </c>
      <c r="M363" s="8">
        <v>44.878500000000003</v>
      </c>
      <c r="N363" s="8">
        <v>11.486570448501912</v>
      </c>
      <c r="O363" s="8">
        <v>7.3121850298064409E-3</v>
      </c>
      <c r="P363" s="8">
        <v>9.8173568540612002E-2</v>
      </c>
      <c r="Q363" s="8">
        <v>0.148717328885171</v>
      </c>
      <c r="R363" s="41">
        <v>7.1147280596127616E-3</v>
      </c>
      <c r="S363" s="33">
        <v>-9.2314533358446485E-2</v>
      </c>
      <c r="T363" s="36">
        <v>44.8</v>
      </c>
      <c r="U363" s="34">
        <v>0.16251885833333332</v>
      </c>
      <c r="V363">
        <v>121.044025684011</v>
      </c>
    </row>
    <row r="364" spans="1:22" x14ac:dyDescent="0.2">
      <c r="A364" s="35" t="s">
        <v>56</v>
      </c>
      <c r="B364" s="36">
        <v>2016</v>
      </c>
      <c r="C364" s="12">
        <v>5.964541139344159</v>
      </c>
      <c r="D364" s="37">
        <v>2.363627050235571</v>
      </c>
      <c r="E364" s="9">
        <v>2.461341526320875E-3</v>
      </c>
      <c r="F364" s="11">
        <v>0.97309999999999997</v>
      </c>
      <c r="G364" s="8">
        <v>12149.85</v>
      </c>
      <c r="H364" s="38">
        <v>-14.950786347437676</v>
      </c>
      <c r="I364" s="37">
        <v>150491.27523681</v>
      </c>
      <c r="J364" s="11">
        <v>1.1801999999999999</v>
      </c>
      <c r="K364" s="11">
        <v>67.872600000000006</v>
      </c>
      <c r="L364" s="38">
        <v>1</v>
      </c>
      <c r="M364" s="8">
        <v>62.887500000000003</v>
      </c>
      <c r="N364" s="8">
        <v>11.546173505053718</v>
      </c>
      <c r="O364" s="8">
        <v>7.2291373440219629E-3</v>
      </c>
      <c r="P364" s="8">
        <v>0.10248141758205834</v>
      </c>
      <c r="Q364" s="8">
        <v>0.1470081442099527</v>
      </c>
      <c r="R364" s="41">
        <v>7.2529120104058526E-3</v>
      </c>
      <c r="S364" s="33">
        <v>0.12570431786897612</v>
      </c>
      <c r="T364" s="36">
        <v>44.6</v>
      </c>
      <c r="U364" s="34">
        <v>0.17348815833333334</v>
      </c>
      <c r="V364">
        <v>108.79290004683401</v>
      </c>
    </row>
    <row r="365" spans="1:22" x14ac:dyDescent="0.2">
      <c r="A365" s="35" t="s">
        <v>56</v>
      </c>
      <c r="B365" s="36">
        <v>2017</v>
      </c>
      <c r="C365" s="12">
        <v>5.6643343741233485</v>
      </c>
      <c r="D365" s="37">
        <v>2.2983652632671232</v>
      </c>
      <c r="E365" s="9">
        <v>-9.0483431366031233E-3</v>
      </c>
      <c r="F365" s="11">
        <v>0.97589999999999999</v>
      </c>
      <c r="G365" s="8">
        <v>8740.9699999999993</v>
      </c>
      <c r="H365" s="38">
        <v>-28.056971896772399</v>
      </c>
      <c r="I365" s="37">
        <v>141345.48700125999</v>
      </c>
      <c r="J365" s="11">
        <v>1.115</v>
      </c>
      <c r="K365" s="11">
        <v>72.932500000000005</v>
      </c>
      <c r="L365" s="38">
        <v>1</v>
      </c>
      <c r="M365" s="8">
        <v>157.61850000000001</v>
      </c>
      <c r="N365" s="8">
        <v>11.623258101423181</v>
      </c>
      <c r="O365" s="8">
        <v>6.641970998789248E-3</v>
      </c>
      <c r="P365" s="8">
        <v>0.13848571762199602</v>
      </c>
      <c r="Q365" s="8">
        <v>0.158017368505497</v>
      </c>
      <c r="R365" s="41">
        <v>7.2772618037495714E-3</v>
      </c>
      <c r="S365" s="33">
        <v>-1.4557344380430779E-2</v>
      </c>
      <c r="T365" s="36">
        <v>44</v>
      </c>
      <c r="U365" s="34">
        <v>6.9751091666666667E-2</v>
      </c>
      <c r="V365">
        <v>112.166141081871</v>
      </c>
    </row>
    <row r="366" spans="1:22" x14ac:dyDescent="0.2">
      <c r="A366" s="35" t="s">
        <v>56</v>
      </c>
      <c r="B366" s="36">
        <v>2018</v>
      </c>
      <c r="C366" s="12">
        <v>4.303833049748496</v>
      </c>
      <c r="D366" s="37">
        <v>0.17073807932410129</v>
      </c>
      <c r="E366" s="9">
        <v>1.5771507776055654E-2</v>
      </c>
      <c r="F366" s="11">
        <v>0.97189999999999999</v>
      </c>
      <c r="G366" s="8">
        <v>6033</v>
      </c>
      <c r="H366" s="38">
        <v>-30.980200137970954</v>
      </c>
      <c r="I366" s="37">
        <v>139959.12655710001</v>
      </c>
      <c r="J366" s="11">
        <v>1.0391999999999999</v>
      </c>
      <c r="K366" s="11">
        <v>75.976500000000001</v>
      </c>
      <c r="L366" s="38">
        <v>1</v>
      </c>
      <c r="M366" s="8">
        <v>177.78370000000001</v>
      </c>
      <c r="N366" s="8">
        <v>11.714662229251758</v>
      </c>
      <c r="O366" s="8">
        <v>5.9100286891653215E-3</v>
      </c>
      <c r="P366" s="8">
        <v>0.1826606219178574</v>
      </c>
      <c r="Q366" s="8">
        <v>0.19854080776489019</v>
      </c>
      <c r="R366" s="41">
        <v>7.3459930846479548E-3</v>
      </c>
      <c r="S366" s="33">
        <v>2.2317420335519114E-2</v>
      </c>
      <c r="T366" s="36">
        <v>45.2</v>
      </c>
      <c r="U366" s="34">
        <v>9.823383333333334E-2</v>
      </c>
      <c r="V366">
        <v>110.42317934106001</v>
      </c>
    </row>
    <row r="367" spans="1:22" x14ac:dyDescent="0.2">
      <c r="A367" s="35" t="s">
        <v>56</v>
      </c>
      <c r="B367" s="36">
        <v>2019</v>
      </c>
      <c r="C367" s="12">
        <v>4.7083129464223727</v>
      </c>
      <c r="D367" s="37">
        <v>0.94755689300174928</v>
      </c>
      <c r="E367" s="9">
        <v>6.0010924449492298E-3</v>
      </c>
      <c r="F367" s="11">
        <v>0.96809999999999996</v>
      </c>
      <c r="G367" s="8">
        <v>4634.51</v>
      </c>
      <c r="H367" s="38">
        <v>-23.1806729653572</v>
      </c>
      <c r="I367" s="37">
        <v>141025.73822601003</v>
      </c>
      <c r="J367" s="11">
        <v>1.0422</v>
      </c>
      <c r="K367" s="11">
        <v>70.974299999999999</v>
      </c>
      <c r="L367" s="38">
        <v>1</v>
      </c>
      <c r="M367" s="8">
        <v>158.4272</v>
      </c>
      <c r="N367" s="8">
        <v>11.687208115333219</v>
      </c>
      <c r="O367" s="8">
        <v>6.3282287403388076E-3</v>
      </c>
      <c r="P367" s="8">
        <v>0.19324894932529127</v>
      </c>
      <c r="Q367" s="8">
        <v>0.18075031618853937</v>
      </c>
      <c r="R367" s="41">
        <v>7.32656145823103E-3</v>
      </c>
      <c r="S367" s="33">
        <v>1.5297507443604967E-2</v>
      </c>
      <c r="T367" s="36">
        <v>45.2</v>
      </c>
      <c r="U367" s="34">
        <v>0.16861495833333337</v>
      </c>
      <c r="V367">
        <v>109.009665900863</v>
      </c>
    </row>
    <row r="368" spans="1:22" x14ac:dyDescent="0.2">
      <c r="A368" s="35" t="s">
        <v>56</v>
      </c>
      <c r="B368" s="36">
        <v>2020</v>
      </c>
      <c r="C368" s="37">
        <v>3.9207197104824001</v>
      </c>
      <c r="D368" s="37">
        <v>0.29360445296541771</v>
      </c>
      <c r="E368" s="9">
        <v>2.1436143687870751E-2</v>
      </c>
      <c r="F368" s="37">
        <v>0.96940000000000004</v>
      </c>
      <c r="G368" s="37">
        <v>4869.5200000000004</v>
      </c>
      <c r="H368" s="38">
        <v>5.0708704911630402</v>
      </c>
      <c r="I368" s="37">
        <v>144411.69922696002</v>
      </c>
      <c r="J368" s="37">
        <v>1.0038</v>
      </c>
      <c r="K368" s="37">
        <v>69.522000000000006</v>
      </c>
      <c r="L368" s="38">
        <v>1</v>
      </c>
      <c r="M368" s="37">
        <v>202.2687</v>
      </c>
      <c r="N368" s="37">
        <v>11.748781412684524</v>
      </c>
      <c r="O368" s="37">
        <v>6.3054835275112809E-3</v>
      </c>
      <c r="P368" s="38">
        <v>0.19751705715456977</v>
      </c>
      <c r="Q368" s="37">
        <v>0.13860128690167925</v>
      </c>
      <c r="R368" s="41">
        <v>7.4540339520672433E-3</v>
      </c>
      <c r="S368" s="33">
        <v>-1.3521754698139338E-2</v>
      </c>
      <c r="T368" s="36">
        <v>45.4</v>
      </c>
      <c r="U368" s="34">
        <v>0.19133301666666666</v>
      </c>
      <c r="V368">
        <v>106.77458226243699</v>
      </c>
    </row>
    <row r="369" spans="1:22" x14ac:dyDescent="0.2">
      <c r="A369" s="35" t="s">
        <v>56</v>
      </c>
      <c r="B369" s="36">
        <v>2021</v>
      </c>
      <c r="C369" s="37">
        <v>3.6115524462221287</v>
      </c>
      <c r="D369" s="37">
        <v>-0.8673713433091752</v>
      </c>
      <c r="E369" s="9">
        <v>2.630381127912499E-2</v>
      </c>
      <c r="F369" s="37">
        <v>0.97250000000000003</v>
      </c>
      <c r="G369" s="37">
        <v>4718.66</v>
      </c>
      <c r="H369" s="38">
        <v>-3.0980466247186698</v>
      </c>
      <c r="I369" s="37">
        <v>164444.66137945998</v>
      </c>
      <c r="J369" s="37">
        <v>0.94130000000000003</v>
      </c>
      <c r="K369" s="37">
        <v>67.631299999999996</v>
      </c>
      <c r="L369" s="38">
        <v>1</v>
      </c>
      <c r="M369" s="37">
        <v>469.97149999999999</v>
      </c>
      <c r="N369" s="37">
        <v>11.921037280123866</v>
      </c>
      <c r="O369" s="37">
        <v>6.9141595891934644E-3</v>
      </c>
      <c r="P369" s="38">
        <v>0.30546445423417218</v>
      </c>
      <c r="Q369" s="37">
        <v>5.4610960677661025E-2</v>
      </c>
      <c r="R369" s="41">
        <v>7.09429155191851E-3</v>
      </c>
      <c r="S369" s="33">
        <v>-8.566975901496245E-3</v>
      </c>
      <c r="T369" s="36">
        <v>45.6</v>
      </c>
      <c r="U369" s="34">
        <v>8.6284741666666664E-2</v>
      </c>
      <c r="V369">
        <v>109.754323839417</v>
      </c>
    </row>
    <row r="370" spans="1:22" x14ac:dyDescent="0.2">
      <c r="A370" s="35" t="s">
        <v>56</v>
      </c>
      <c r="B370" s="36">
        <v>2022</v>
      </c>
      <c r="C370" s="37">
        <v>3.1635793179275336</v>
      </c>
      <c r="D370" s="37">
        <v>-1.3564224985774636</v>
      </c>
      <c r="E370" s="9">
        <v>3.2507727929625238E-2</v>
      </c>
      <c r="F370" s="37">
        <v>0.97289999999999999</v>
      </c>
      <c r="G370" s="37">
        <v>4209.16</v>
      </c>
      <c r="H370" s="38">
        <v>-10.797556933536216</v>
      </c>
      <c r="I370" s="37">
        <v>154649.20288393251</v>
      </c>
      <c r="J370" s="37">
        <v>0.90939999999999999</v>
      </c>
      <c r="K370" s="37">
        <v>67.628699999999995</v>
      </c>
      <c r="L370" s="38">
        <v>1</v>
      </c>
      <c r="M370" s="37">
        <v>520.10979999999995</v>
      </c>
      <c r="N370" s="37">
        <v>11.864656462320649</v>
      </c>
      <c r="O370" s="37">
        <v>7.8610152218257963E-3</v>
      </c>
      <c r="P370" s="38">
        <v>0.31333649582192186</v>
      </c>
      <c r="Q370" s="37">
        <v>4.8933395027947961E-2</v>
      </c>
      <c r="R370" s="41">
        <v>6.9826500597956241E-3</v>
      </c>
      <c r="S370" s="33">
        <v>-0.15470779172132842</v>
      </c>
      <c r="T370" s="36">
        <v>46.3</v>
      </c>
      <c r="U370" s="34">
        <v>0.19251043333333331</v>
      </c>
      <c r="V370">
        <v>131.49814044376399</v>
      </c>
    </row>
    <row r="371" spans="1:22" x14ac:dyDescent="0.2">
      <c r="A371" s="35"/>
      <c r="B371" s="36"/>
      <c r="C371" s="37"/>
      <c r="D371" s="37"/>
      <c r="E371" s="9"/>
      <c r="F371" s="37"/>
      <c r="G371" s="37"/>
      <c r="H371" s="38"/>
      <c r="I371" s="37"/>
      <c r="J371" s="37"/>
      <c r="K371" s="37"/>
      <c r="L371" s="38"/>
      <c r="M371" s="37"/>
      <c r="N371" s="37"/>
      <c r="O371" s="37"/>
      <c r="P371" s="38"/>
      <c r="Q371" s="37"/>
      <c r="R371" s="41"/>
      <c r="S371" s="33"/>
      <c r="T371" s="36"/>
      <c r="U371" s="34"/>
      <c r="V371"/>
    </row>
    <row r="372" spans="1:22" x14ac:dyDescent="0.2">
      <c r="A372" s="35" t="s">
        <v>58</v>
      </c>
      <c r="B372" s="36">
        <v>2014</v>
      </c>
      <c r="C372" s="12">
        <v>1.4842398106153232</v>
      </c>
      <c r="D372" s="37">
        <v>-0.14838504836291322</v>
      </c>
      <c r="E372" s="40">
        <v>1.8823631035266783E-2</v>
      </c>
      <c r="F372" s="11">
        <v>0.96879999999999999</v>
      </c>
      <c r="G372" s="8">
        <v>125.75</v>
      </c>
      <c r="H372" s="38">
        <v>-30.48645660585959</v>
      </c>
      <c r="I372" s="42">
        <v>17080.308395331231</v>
      </c>
      <c r="J372" s="11">
        <v>1.2664</v>
      </c>
      <c r="K372" s="11">
        <v>74.354399999999998</v>
      </c>
      <c r="L372" s="38">
        <v>1</v>
      </c>
      <c r="M372" s="8">
        <v>38.6492</v>
      </c>
      <c r="N372" s="8">
        <v>9.582114678613074</v>
      </c>
      <c r="O372" s="8">
        <v>9.2401621609528948E-3</v>
      </c>
      <c r="P372" s="8">
        <v>0.12288444417666947</v>
      </c>
      <c r="Q372" s="8">
        <v>0.34116417689974093</v>
      </c>
      <c r="R372" s="41">
        <v>7.4921887499146619E-3</v>
      </c>
      <c r="S372" s="33">
        <v>-6.0497682581134235E-2</v>
      </c>
      <c r="T372" s="36">
        <v>43</v>
      </c>
      <c r="U372" s="34">
        <v>0.10612881666666664</v>
      </c>
      <c r="V372">
        <v>105.944781034025</v>
      </c>
    </row>
    <row r="373" spans="1:22" x14ac:dyDescent="0.2">
      <c r="A373" s="35" t="s">
        <v>58</v>
      </c>
      <c r="B373" s="36">
        <v>2015</v>
      </c>
      <c r="C373" s="12">
        <v>2.1285554288341917</v>
      </c>
      <c r="D373" s="37">
        <v>0.70128063437974364</v>
      </c>
      <c r="E373" s="40">
        <v>1.2731830113248375E-2</v>
      </c>
      <c r="F373" s="11">
        <v>0.96830000000000005</v>
      </c>
      <c r="G373" s="8">
        <v>390.83</v>
      </c>
      <c r="H373" s="38">
        <v>210.79920477137176</v>
      </c>
      <c r="I373" s="42">
        <v>24494.952164079335</v>
      </c>
      <c r="J373" s="11">
        <v>1.2613000000000001</v>
      </c>
      <c r="K373" s="11">
        <v>75.676500000000004</v>
      </c>
      <c r="L373" s="38">
        <v>1</v>
      </c>
      <c r="M373" s="8">
        <v>37.023200000000003</v>
      </c>
      <c r="N373" s="8">
        <v>9.493370119125693</v>
      </c>
      <c r="O373" s="8">
        <v>9.4546538670864811E-3</v>
      </c>
      <c r="P373" s="8">
        <v>0.1518749305275422</v>
      </c>
      <c r="Q373" s="8">
        <v>0.27160409006481934</v>
      </c>
      <c r="R373" s="41">
        <v>7.1266054355533471E-3</v>
      </c>
      <c r="S373" s="33">
        <v>-9.2314533358446485E-2</v>
      </c>
      <c r="T373" s="36">
        <v>44.8</v>
      </c>
      <c r="U373" s="34">
        <v>0.16251885833333332</v>
      </c>
      <c r="V373">
        <v>121.044025684011</v>
      </c>
    </row>
    <row r="374" spans="1:22" x14ac:dyDescent="0.2">
      <c r="A374" s="35" t="s">
        <v>58</v>
      </c>
      <c r="B374" s="36">
        <v>2016</v>
      </c>
      <c r="C374" s="12">
        <v>2.1109825148055918</v>
      </c>
      <c r="D374" s="37">
        <v>0.98346093194158424</v>
      </c>
      <c r="E374" s="40">
        <v>1.6841228480042183E-2</v>
      </c>
      <c r="F374" s="11">
        <v>0.96179999999999999</v>
      </c>
      <c r="G374" s="8">
        <v>372.9</v>
      </c>
      <c r="H374" s="38">
        <v>-4.5876723895299767</v>
      </c>
      <c r="I374" s="37">
        <v>24292.726897739998</v>
      </c>
      <c r="J374" s="11">
        <v>1.2121999999999999</v>
      </c>
      <c r="K374" s="11">
        <v>73.941699999999997</v>
      </c>
      <c r="L374" s="38">
        <v>1</v>
      </c>
      <c r="M374" s="8">
        <v>44.7211</v>
      </c>
      <c r="N374" s="8">
        <v>9.487243221788896</v>
      </c>
      <c r="O374" s="8">
        <v>8.3987046147347977E-3</v>
      </c>
      <c r="P374" s="8">
        <v>0.18461178478967805</v>
      </c>
      <c r="Q374" s="8">
        <v>0.212783087908364</v>
      </c>
      <c r="R374" s="41">
        <v>7.8689325095855859E-3</v>
      </c>
      <c r="S374" s="33">
        <v>0.12570431786897612</v>
      </c>
      <c r="T374" s="36">
        <v>44.6</v>
      </c>
      <c r="U374" s="34">
        <v>0.17348815833333334</v>
      </c>
      <c r="V374">
        <v>108.79290004683401</v>
      </c>
    </row>
    <row r="375" spans="1:22" x14ac:dyDescent="0.2">
      <c r="A375" s="35" t="s">
        <v>58</v>
      </c>
      <c r="B375" s="36">
        <v>2017</v>
      </c>
      <c r="C375" s="12">
        <v>1.9255319534257078</v>
      </c>
      <c r="D375" s="37">
        <v>-10.340309678171712</v>
      </c>
      <c r="E375" s="40">
        <v>0.12037906189495109</v>
      </c>
      <c r="F375" s="11">
        <v>0.96989999999999998</v>
      </c>
      <c r="G375" s="8">
        <v>44.75</v>
      </c>
      <c r="H375" s="38">
        <v>-87.999463663180478</v>
      </c>
      <c r="I375" s="37">
        <v>20611.80904091</v>
      </c>
      <c r="J375" s="11">
        <v>1.1812</v>
      </c>
      <c r="K375" s="11">
        <v>80.217200000000005</v>
      </c>
      <c r="L375" s="38">
        <v>1</v>
      </c>
      <c r="M375" s="8">
        <v>84.328699999999998</v>
      </c>
      <c r="N375" s="8">
        <v>9.5669644676221619</v>
      </c>
      <c r="O375" s="8">
        <v>7.2617627544312099E-3</v>
      </c>
      <c r="P375" s="8">
        <v>0.19724902952140405</v>
      </c>
      <c r="Q375" s="8">
        <v>0.20830072834527177</v>
      </c>
      <c r="R375" s="41">
        <v>7.4766686757961557E-3</v>
      </c>
      <c r="S375" s="33">
        <v>-1.4557344380430779E-2</v>
      </c>
      <c r="T375" s="36">
        <v>44</v>
      </c>
      <c r="U375" s="34">
        <v>6.9751091666666667E-2</v>
      </c>
      <c r="V375">
        <v>112.166141081871</v>
      </c>
    </row>
    <row r="376" spans="1:22" x14ac:dyDescent="0.2">
      <c r="A376" s="35" t="s">
        <v>58</v>
      </c>
      <c r="B376" s="36">
        <v>2018</v>
      </c>
      <c r="C376" s="37">
        <v>1.6161443372597029</v>
      </c>
      <c r="D376" s="37">
        <v>-0.20562242845727211</v>
      </c>
      <c r="E376" s="40">
        <v>2.4139465340980108E-2</v>
      </c>
      <c r="F376" s="37">
        <v>0.96409999999999996</v>
      </c>
      <c r="G376" s="37">
        <v>64.23</v>
      </c>
      <c r="H376" s="38">
        <v>43.53072625698325</v>
      </c>
      <c r="I376" s="37">
        <v>19772.896700900001</v>
      </c>
      <c r="J376" s="37">
        <v>1.1261000000000001</v>
      </c>
      <c r="K376" s="37">
        <v>81.361400000000003</v>
      </c>
      <c r="L376" s="38">
        <v>1</v>
      </c>
      <c r="M376" s="37">
        <v>82.068600000000004</v>
      </c>
      <c r="N376" s="37">
        <v>9.5621164058259946</v>
      </c>
      <c r="O376" s="37">
        <v>6.2998738310752304E-3</v>
      </c>
      <c r="P376" s="38">
        <v>0.22574017644045213</v>
      </c>
      <c r="Q376" s="37">
        <v>0.18219964591227228</v>
      </c>
      <c r="R376" s="41">
        <v>8.1155887313664726E-3</v>
      </c>
      <c r="S376" s="33">
        <v>2.2317420335519114E-2</v>
      </c>
      <c r="T376" s="36">
        <v>45.2</v>
      </c>
      <c r="U376" s="34">
        <v>9.823383333333334E-2</v>
      </c>
      <c r="V376">
        <v>110.42317934106001</v>
      </c>
    </row>
    <row r="377" spans="1:22" x14ac:dyDescent="0.2">
      <c r="A377" s="35" t="s">
        <v>58</v>
      </c>
      <c r="B377" s="36">
        <v>2019</v>
      </c>
      <c r="C377" s="37">
        <v>1.6731562442296677</v>
      </c>
      <c r="D377" s="37">
        <v>2.7402447364950455</v>
      </c>
      <c r="E377" s="40">
        <v>-9.7127105361574494E-3</v>
      </c>
      <c r="F377" s="37">
        <v>0.9597</v>
      </c>
      <c r="G377" s="37">
        <v>45.21</v>
      </c>
      <c r="H377" s="38">
        <v>-29.612330686595051</v>
      </c>
      <c r="I377" s="37">
        <v>15641.767267560001</v>
      </c>
      <c r="J377" s="37">
        <v>1.048</v>
      </c>
      <c r="K377" s="37">
        <v>83.537700000000001</v>
      </c>
      <c r="L377" s="38">
        <v>1</v>
      </c>
      <c r="M377" s="37">
        <v>117.92359999999999</v>
      </c>
      <c r="N377" s="37">
        <v>9.6129178615908266</v>
      </c>
      <c r="O377" s="37">
        <v>4.6659569448688426E-3</v>
      </c>
      <c r="P377" s="38">
        <v>0.13880022396846931</v>
      </c>
      <c r="Q377" s="37">
        <v>0.18101697196627634</v>
      </c>
      <c r="R377" s="41">
        <v>7.7455152388537273E-3</v>
      </c>
      <c r="S377" s="33">
        <v>1.5297507443604967E-2</v>
      </c>
      <c r="T377" s="36">
        <v>45.2</v>
      </c>
      <c r="U377" s="34">
        <v>0.16861495833333337</v>
      </c>
      <c r="V377">
        <v>109.009665900863</v>
      </c>
    </row>
    <row r="378" spans="1:22" x14ac:dyDescent="0.2">
      <c r="A378" s="35" t="s">
        <v>58</v>
      </c>
      <c r="B378" s="36">
        <v>2020</v>
      </c>
      <c r="C378" s="37">
        <v>-1.5098272089275648</v>
      </c>
      <c r="D378" s="37">
        <v>8.1443323355127023E-2</v>
      </c>
      <c r="E378" s="40">
        <v>2.6479385597719323E-2</v>
      </c>
      <c r="F378" s="37">
        <v>0.96260000000000001</v>
      </c>
      <c r="G378" s="37">
        <v>119.85</v>
      </c>
      <c r="H378" s="38">
        <v>165.09621765096213</v>
      </c>
      <c r="I378" s="37">
        <v>17450.312360519998</v>
      </c>
      <c r="J378" s="37">
        <v>1.0056</v>
      </c>
      <c r="K378" s="37">
        <v>114.7657</v>
      </c>
      <c r="L378" s="38">
        <v>0</v>
      </c>
      <c r="M378" s="37">
        <v>143.21430000000001</v>
      </c>
      <c r="N378" s="37">
        <v>9.6034645362583628</v>
      </c>
      <c r="O378" s="37">
        <v>6.1124602297106109E-3</v>
      </c>
      <c r="P378" s="38">
        <v>0.22140317353980421</v>
      </c>
      <c r="Q378" s="37">
        <v>-0.22345610463322843</v>
      </c>
      <c r="R378" s="41">
        <v>8.3282590303539513E-3</v>
      </c>
      <c r="S378" s="33">
        <v>-1.3521754698139338E-2</v>
      </c>
      <c r="T378" s="36">
        <v>45.4</v>
      </c>
      <c r="U378" s="34">
        <v>0.19133301666666666</v>
      </c>
      <c r="V378">
        <v>106.77458226243699</v>
      </c>
    </row>
    <row r="379" spans="1:22" x14ac:dyDescent="0.2">
      <c r="A379" s="35" t="s">
        <v>58</v>
      </c>
      <c r="B379" s="36">
        <v>2021</v>
      </c>
      <c r="C379" s="37">
        <v>1.3823347044905154</v>
      </c>
      <c r="D379" s="37">
        <v>-0.94243893459451356</v>
      </c>
      <c r="E379" s="40">
        <v>2.3684500626037032E-2</v>
      </c>
      <c r="F379" s="37">
        <v>0.96319999999999995</v>
      </c>
      <c r="G379" s="37">
        <v>52.79</v>
      </c>
      <c r="H379" s="38">
        <v>-55.95327492699208</v>
      </c>
      <c r="I379" s="37">
        <v>-55.953274926992073</v>
      </c>
      <c r="J379" s="37">
        <v>1.0121</v>
      </c>
      <c r="K379" s="37">
        <v>76.052800000000005</v>
      </c>
      <c r="L379" s="38">
        <v>1</v>
      </c>
      <c r="M379" s="37">
        <v>154.36019999999999</v>
      </c>
      <c r="N379" s="37">
        <v>9.6947262232063629</v>
      </c>
      <c r="O379" s="37">
        <v>6.5468884861363688E-3</v>
      </c>
      <c r="P379" s="38">
        <v>0.15387716329269971</v>
      </c>
      <c r="Q379" s="37">
        <v>0.16134687443786222</v>
      </c>
      <c r="R379" s="41">
        <v>7.731290165965788E-3</v>
      </c>
      <c r="S379" s="33">
        <v>-8.566975901496245E-3</v>
      </c>
      <c r="T379" s="36">
        <v>45.6</v>
      </c>
      <c r="U379" s="34">
        <v>8.6284741666666664E-2</v>
      </c>
      <c r="V379">
        <v>109.754323839417</v>
      </c>
    </row>
    <row r="380" spans="1:22" x14ac:dyDescent="0.2">
      <c r="A380" s="35" t="s">
        <v>58</v>
      </c>
      <c r="B380" s="36">
        <v>2022</v>
      </c>
      <c r="C380" s="37">
        <v>1.4832748596683905</v>
      </c>
      <c r="D380" s="37">
        <v>-1.6045828451243995</v>
      </c>
      <c r="E380" s="40">
        <v>3.204281631385815E-2</v>
      </c>
      <c r="F380" s="37">
        <v>0.96519999999999995</v>
      </c>
      <c r="G380" s="37">
        <v>23.71</v>
      </c>
      <c r="H380" s="38">
        <v>-55.086190566395146</v>
      </c>
      <c r="I380" s="37">
        <v>-55.086190566395153</v>
      </c>
      <c r="J380" s="37">
        <v>1.0008999999999999</v>
      </c>
      <c r="K380" s="37">
        <v>77.580799999999996</v>
      </c>
      <c r="L380" s="38">
        <v>1</v>
      </c>
      <c r="M380" s="37">
        <v>233.35390000000001</v>
      </c>
      <c r="N380" s="37">
        <v>9.6077695516595956</v>
      </c>
      <c r="O380" s="37">
        <v>5.7645338388212976E-3</v>
      </c>
      <c r="P380" s="38">
        <v>0.15764172124813289</v>
      </c>
      <c r="Q380" s="37">
        <v>0.11387146651195407</v>
      </c>
      <c r="R380" s="41">
        <v>8.0399805775002459E-3</v>
      </c>
      <c r="S380" s="33">
        <v>-0.15470779172132842</v>
      </c>
      <c r="T380" s="36">
        <v>46.3</v>
      </c>
      <c r="U380" s="34">
        <v>0.19251043333333331</v>
      </c>
      <c r="V380">
        <v>131.49814044376399</v>
      </c>
    </row>
    <row r="381" spans="1:22" x14ac:dyDescent="0.2">
      <c r="A381" s="35"/>
      <c r="B381" s="36"/>
      <c r="C381" s="37"/>
      <c r="D381" s="37"/>
      <c r="E381" s="40"/>
      <c r="F381" s="37"/>
      <c r="G381" s="37"/>
      <c r="H381" s="38"/>
      <c r="I381" s="37"/>
      <c r="J381" s="37"/>
      <c r="K381" s="37"/>
      <c r="L381" s="38"/>
      <c r="M381" s="37"/>
      <c r="N381" s="37"/>
      <c r="O381" s="37"/>
      <c r="P381" s="38"/>
      <c r="Q381" s="37"/>
      <c r="R381" s="41"/>
      <c r="S381" s="33"/>
      <c r="T381" s="36"/>
      <c r="U381" s="34"/>
      <c r="V381"/>
    </row>
    <row r="382" spans="1:22" x14ac:dyDescent="0.2">
      <c r="A382" s="35" t="s">
        <v>92</v>
      </c>
      <c r="B382" s="36">
        <v>2014</v>
      </c>
      <c r="C382" s="37">
        <v>5.1693806335754084</v>
      </c>
      <c r="D382" s="37">
        <v>-0.12536575131655245</v>
      </c>
      <c r="E382" s="9">
        <v>1.9175892262335032E-2</v>
      </c>
      <c r="F382" s="37">
        <v>0.97030000000000005</v>
      </c>
      <c r="G382" s="37">
        <v>8694.58</v>
      </c>
      <c r="H382" s="38">
        <v>-1.5774406181620226</v>
      </c>
      <c r="I382" s="37">
        <v>75155.678271600002</v>
      </c>
      <c r="J382" s="37">
        <v>1.1189</v>
      </c>
      <c r="K382" s="37">
        <v>74.533500000000004</v>
      </c>
      <c r="L382" s="38">
        <v>1</v>
      </c>
      <c r="M382" s="37">
        <v>69.970100000000002</v>
      </c>
      <c r="N382" s="37">
        <v>10.68266977925483</v>
      </c>
      <c r="O382" s="37">
        <v>8.2533437912205819E-3</v>
      </c>
      <c r="P382" s="37">
        <v>7.054905393626916E-2</v>
      </c>
      <c r="Q382" s="37">
        <v>0.15232597504868545</v>
      </c>
      <c r="R382" s="41">
        <v>6.6566557993320667E-3</v>
      </c>
      <c r="S382" s="33">
        <v>-6.0497682581134235E-2</v>
      </c>
      <c r="T382" s="36">
        <v>43</v>
      </c>
      <c r="U382" s="34">
        <v>0.10612881666666664</v>
      </c>
      <c r="V382">
        <v>105.944781034025</v>
      </c>
    </row>
    <row r="383" spans="1:22" x14ac:dyDescent="0.2">
      <c r="A383" s="35" t="s">
        <v>92</v>
      </c>
      <c r="B383" s="36">
        <v>2015</v>
      </c>
      <c r="C383" s="37">
        <v>4.2454543320610885</v>
      </c>
      <c r="D383" s="37">
        <v>0.34568560760603184</v>
      </c>
      <c r="E383" s="9">
        <v>1.4788298996135792E-2</v>
      </c>
      <c r="F383" s="37">
        <v>0.96550000000000002</v>
      </c>
      <c r="G383" s="37">
        <v>8835.52</v>
      </c>
      <c r="H383" s="38">
        <v>1.6210098705170408</v>
      </c>
      <c r="I383" s="37">
        <v>54731.02847325</v>
      </c>
      <c r="J383" s="37">
        <v>1.0886</v>
      </c>
      <c r="K383" s="37">
        <v>76.910300000000007</v>
      </c>
      <c r="L383" s="38">
        <v>1</v>
      </c>
      <c r="M383" s="37">
        <v>77.020499999999998</v>
      </c>
      <c r="N383" s="37">
        <v>10.557770188707167</v>
      </c>
      <c r="O383" s="37">
        <v>6.7849948335361567E-3</v>
      </c>
      <c r="P383" s="37">
        <v>5.2088044561292235E-2</v>
      </c>
      <c r="Q383" s="37">
        <v>0.20530097674233358</v>
      </c>
      <c r="R383" s="41">
        <v>6.8237312168750973E-3</v>
      </c>
      <c r="S383" s="33">
        <v>-9.2314533358446485E-2</v>
      </c>
      <c r="T383" s="36">
        <v>44.8</v>
      </c>
      <c r="U383" s="34">
        <v>0.16251885833333332</v>
      </c>
      <c r="V383">
        <v>121.044025684011</v>
      </c>
    </row>
    <row r="384" spans="1:22" x14ac:dyDescent="0.2">
      <c r="A384" s="35" t="s">
        <v>92</v>
      </c>
      <c r="B384" s="36">
        <v>2016</v>
      </c>
      <c r="C384" s="37">
        <v>5.0308446571530201</v>
      </c>
      <c r="D384" s="37">
        <v>2.4512375419590922</v>
      </c>
      <c r="E384" s="9">
        <v>-7.2263074496345056E-4</v>
      </c>
      <c r="F384" s="37">
        <v>0.96389999999999998</v>
      </c>
      <c r="G384" s="37">
        <v>10597.99</v>
      </c>
      <c r="H384" s="38">
        <v>19.947552605845488</v>
      </c>
      <c r="I384" s="37">
        <v>52096.666903960002</v>
      </c>
      <c r="J384" s="37">
        <v>1.0952999999999999</v>
      </c>
      <c r="K384" s="37">
        <v>70.413499999999999</v>
      </c>
      <c r="L384" s="38">
        <v>1</v>
      </c>
      <c r="M384" s="37">
        <v>74.124700000000004</v>
      </c>
      <c r="N384" s="37">
        <v>10.64429431077434</v>
      </c>
      <c r="O384" s="37">
        <v>6.5101814563413773E-3</v>
      </c>
      <c r="P384" s="37">
        <v>7.8510140918230206E-2</v>
      </c>
      <c r="Q384" s="37">
        <v>0.23992438706586122</v>
      </c>
      <c r="R384" s="41">
        <v>6.6997804744810411E-3</v>
      </c>
      <c r="S384" s="33">
        <v>0.12570431786897612</v>
      </c>
      <c r="T384" s="36">
        <v>44.6</v>
      </c>
      <c r="U384" s="34">
        <v>0.17348815833333334</v>
      </c>
      <c r="V384">
        <v>108.79290004683401</v>
      </c>
    </row>
    <row r="385" spans="1:22" x14ac:dyDescent="0.2">
      <c r="A385" s="35" t="s">
        <v>92</v>
      </c>
      <c r="B385" s="36">
        <v>2017</v>
      </c>
      <c r="C385" s="37">
        <v>4.2255286920954571</v>
      </c>
      <c r="D385" s="37">
        <v>2.9024628454920816</v>
      </c>
      <c r="E385" s="9">
        <v>-1.5169513598572777E-2</v>
      </c>
      <c r="F385" s="37">
        <v>0.96630000000000005</v>
      </c>
      <c r="G385" s="37">
        <v>11941.75</v>
      </c>
      <c r="H385" s="38">
        <v>12.679385430633547</v>
      </c>
      <c r="I385" s="37">
        <v>46078.687571029994</v>
      </c>
      <c r="J385" s="37">
        <v>1.0152000000000001</v>
      </c>
      <c r="K385" s="37">
        <v>73.200100000000006</v>
      </c>
      <c r="L385" s="38">
        <v>1</v>
      </c>
      <c r="M385" s="37">
        <v>128.51580000000001</v>
      </c>
      <c r="N385" s="37">
        <v>10.697827966934129</v>
      </c>
      <c r="O385" s="37">
        <v>5.9311460692813246E-3</v>
      </c>
      <c r="P385" s="37">
        <v>0.10186260693221132</v>
      </c>
      <c r="Q385" s="37">
        <v>0.27571590536279011</v>
      </c>
      <c r="R385" s="41">
        <v>6.6826815984953013E-3</v>
      </c>
      <c r="S385" s="33">
        <v>-1.4557344380430779E-2</v>
      </c>
      <c r="T385" s="36">
        <v>44</v>
      </c>
      <c r="U385" s="34">
        <v>6.9751091666666667E-2</v>
      </c>
      <c r="V385">
        <v>112.166141081871</v>
      </c>
    </row>
    <row r="386" spans="1:22" x14ac:dyDescent="0.2">
      <c r="A386" s="35" t="s">
        <v>92</v>
      </c>
      <c r="B386" s="36">
        <v>2018</v>
      </c>
      <c r="C386" s="37">
        <v>4.4674174961453055</v>
      </c>
      <c r="D386" s="37">
        <v>-0.17889758955477433</v>
      </c>
      <c r="E386" s="9">
        <v>1.7633269787099181E-2</v>
      </c>
      <c r="F386" s="37">
        <v>0.96079999999999999</v>
      </c>
      <c r="G386" s="37">
        <v>11549.41</v>
      </c>
      <c r="H386" s="38">
        <v>-3.2854481127137993</v>
      </c>
      <c r="I386" s="37">
        <v>46524.850401249998</v>
      </c>
      <c r="J386" s="37">
        <v>1.0337000000000001</v>
      </c>
      <c r="K386" s="37">
        <v>75.991900000000001</v>
      </c>
      <c r="L386" s="38">
        <v>1</v>
      </c>
      <c r="M386" s="37">
        <v>102.2799</v>
      </c>
      <c r="N386" s="37">
        <v>10.713823647853138</v>
      </c>
      <c r="O386" s="37">
        <v>5.696487032955882E-3</v>
      </c>
      <c r="P386" s="37">
        <v>0.13963849306274076</v>
      </c>
      <c r="Q386" s="37">
        <v>0.38309007081451557</v>
      </c>
      <c r="R386" s="41">
        <v>7.0070301153839377E-3</v>
      </c>
      <c r="S386" s="33">
        <v>2.2317420335519114E-2</v>
      </c>
      <c r="T386" s="36">
        <v>45.2</v>
      </c>
      <c r="U386" s="34">
        <v>9.823383333333334E-2</v>
      </c>
      <c r="V386">
        <v>110.42317934106001</v>
      </c>
    </row>
    <row r="387" spans="1:22" x14ac:dyDescent="0.2">
      <c r="A387" s="35" t="s">
        <v>92</v>
      </c>
      <c r="B387" s="36">
        <v>2019</v>
      </c>
      <c r="C387" s="37">
        <v>2.8339078536969353</v>
      </c>
      <c r="D387" s="37">
        <v>0.78027166563794836</v>
      </c>
      <c r="E387" s="9">
        <v>7.2983178990133901E-3</v>
      </c>
      <c r="F387" s="37">
        <v>0.95530000000000004</v>
      </c>
      <c r="G387" s="37">
        <v>11471.79</v>
      </c>
      <c r="H387" s="38">
        <v>-0.67206896283012718</v>
      </c>
      <c r="I387" s="37">
        <v>47272.360982560007</v>
      </c>
      <c r="J387" s="37">
        <v>0.9486</v>
      </c>
      <c r="K387" s="37">
        <v>80.708600000000004</v>
      </c>
      <c r="L387" s="38">
        <v>1</v>
      </c>
      <c r="M387" s="37">
        <v>159.1131</v>
      </c>
      <c r="N387" s="37">
        <v>10.696396322477778</v>
      </c>
      <c r="O387" s="37">
        <v>5.9298245855611839E-3</v>
      </c>
      <c r="P387" s="37">
        <v>0.16310415641910792</v>
      </c>
      <c r="Q387" s="37">
        <v>0.70183994585457032</v>
      </c>
      <c r="R387" s="41">
        <v>7.0018373194375028E-3</v>
      </c>
      <c r="S387" s="33">
        <v>1.5297507443604967E-2</v>
      </c>
      <c r="T387" s="36">
        <v>45.2</v>
      </c>
      <c r="U387" s="34">
        <v>0.16861495833333337</v>
      </c>
      <c r="V387">
        <v>109.009665900863</v>
      </c>
    </row>
    <row r="388" spans="1:22" x14ac:dyDescent="0.2">
      <c r="A388" s="35" t="s">
        <v>92</v>
      </c>
      <c r="B388" s="36">
        <v>2020</v>
      </c>
      <c r="C388" s="37">
        <v>3.372781335570779</v>
      </c>
      <c r="D388" s="37">
        <v>-0.17457493085135212</v>
      </c>
      <c r="E388" s="9">
        <v>2.373065137441448E-2</v>
      </c>
      <c r="F388" s="37">
        <v>0.96130000000000004</v>
      </c>
      <c r="G388" s="37">
        <v>11929.03</v>
      </c>
      <c r="H388" s="38">
        <v>3.9857772849747048</v>
      </c>
      <c r="I388" s="37">
        <v>51658.377312829994</v>
      </c>
      <c r="J388" s="37">
        <v>0.92730000000000001</v>
      </c>
      <c r="K388" s="37">
        <v>78.566400000000002</v>
      </c>
      <c r="L388" s="38">
        <v>1</v>
      </c>
      <c r="M388" s="37">
        <v>181.47669999999999</v>
      </c>
      <c r="N388" s="37">
        <v>10.735602875712944</v>
      </c>
      <c r="O388" s="37">
        <v>6.0886737455318552E-3</v>
      </c>
      <c r="P388" s="37">
        <v>0.12593253424521111</v>
      </c>
      <c r="Q388" s="37">
        <v>0.43220741006809243</v>
      </c>
      <c r="R388" s="41">
        <v>6.8758753117578566E-3</v>
      </c>
      <c r="S388" s="33">
        <v>-1.3521754698139338E-2</v>
      </c>
      <c r="T388" s="36">
        <v>45.4</v>
      </c>
      <c r="U388" s="34">
        <v>0.19133301666666666</v>
      </c>
      <c r="V388">
        <v>106.77458226243699</v>
      </c>
    </row>
    <row r="389" spans="1:22" x14ac:dyDescent="0.2">
      <c r="A389" s="35" t="s">
        <v>92</v>
      </c>
      <c r="B389" s="36">
        <v>2021</v>
      </c>
      <c r="C389" s="37">
        <v>1.6928793089948104</v>
      </c>
      <c r="D389" s="37">
        <v>-3.5102941931026397</v>
      </c>
      <c r="E389" s="9">
        <v>4.9203553559541362E-2</v>
      </c>
      <c r="F389" s="37">
        <v>0.95499999999999996</v>
      </c>
      <c r="G389" s="37">
        <v>10676.81</v>
      </c>
      <c r="H389" s="38">
        <v>-10.497249147667507</v>
      </c>
      <c r="I389" s="37">
        <v>54625.617583600004</v>
      </c>
      <c r="J389" s="37">
        <v>0.90410000000000001</v>
      </c>
      <c r="K389" s="37">
        <v>87.765000000000001</v>
      </c>
      <c r="L389" s="38">
        <v>1</v>
      </c>
      <c r="M389" s="37">
        <v>158.8638</v>
      </c>
      <c r="N389" s="37">
        <v>10.791364486740742</v>
      </c>
      <c r="O389" s="37">
        <v>5.9674010202896595E-3</v>
      </c>
      <c r="P389" s="37">
        <v>0.16052081766545631</v>
      </c>
      <c r="Q389" s="37">
        <v>0.42986229348513849</v>
      </c>
      <c r="R389" s="41">
        <v>6.7293112149842326E-3</v>
      </c>
      <c r="S389" s="33">
        <v>-8.566975901496245E-3</v>
      </c>
      <c r="T389" s="36">
        <v>45.6</v>
      </c>
      <c r="U389" s="34">
        <v>8.6284741666666664E-2</v>
      </c>
      <c r="V389">
        <v>109.754323839417</v>
      </c>
    </row>
    <row r="390" spans="1:22" x14ac:dyDescent="0.2">
      <c r="A390" s="35" t="s">
        <v>92</v>
      </c>
      <c r="B390" s="36">
        <v>2022</v>
      </c>
      <c r="C390" s="37">
        <v>4.2316067046750421</v>
      </c>
      <c r="D390" s="37">
        <v>-2.0971967738746531</v>
      </c>
      <c r="E390" s="9">
        <v>3.822053581795383E-2</v>
      </c>
      <c r="F390" s="37">
        <v>0.95899999999999996</v>
      </c>
      <c r="G390" s="37">
        <v>7401.9219999999996</v>
      </c>
      <c r="H390" s="38">
        <v>-30.672906982516313</v>
      </c>
      <c r="I390" s="37">
        <v>53517.908437509999</v>
      </c>
      <c r="J390" s="37">
        <v>0.89859999999999995</v>
      </c>
      <c r="K390" s="37">
        <v>74.605999999999995</v>
      </c>
      <c r="L390" s="38">
        <v>1</v>
      </c>
      <c r="M390" s="37">
        <v>259.16030000000001</v>
      </c>
      <c r="N390" s="37">
        <v>10.763826852462781</v>
      </c>
      <c r="O390" s="37">
        <v>5.7751966183204979E-3</v>
      </c>
      <c r="P390" s="37">
        <v>0.18780330560637246</v>
      </c>
      <c r="Q390" s="37">
        <v>9.9137895987221072E-2</v>
      </c>
      <c r="R390" s="41">
        <v>6.8341298545771482E-3</v>
      </c>
      <c r="S390" s="33">
        <v>-0.15470779172132842</v>
      </c>
      <c r="T390" s="36">
        <v>46.3</v>
      </c>
      <c r="U390" s="34">
        <v>0.19251043333333331</v>
      </c>
      <c r="V390">
        <v>131.49814044376399</v>
      </c>
    </row>
    <row r="391" spans="1:22" x14ac:dyDescent="0.2">
      <c r="A391" s="35"/>
      <c r="B391" s="36"/>
      <c r="C391" s="37"/>
      <c r="D391" s="37"/>
      <c r="E391" s="9"/>
      <c r="F391" s="37"/>
      <c r="G391" s="37"/>
      <c r="H391" s="38"/>
      <c r="I391" s="37"/>
      <c r="J391" s="37"/>
      <c r="K391" s="37"/>
      <c r="L391" s="38"/>
      <c r="M391" s="37"/>
      <c r="N391" s="37"/>
      <c r="O391" s="37"/>
      <c r="P391" s="37"/>
      <c r="Q391" s="37"/>
      <c r="R391" s="41"/>
      <c r="S391" s="33"/>
      <c r="T391" s="36"/>
      <c r="U391" s="34"/>
      <c r="V391"/>
    </row>
    <row r="392" spans="1:22" x14ac:dyDescent="0.2">
      <c r="A392" s="35" t="s">
        <v>59</v>
      </c>
      <c r="B392" s="36">
        <v>2014</v>
      </c>
      <c r="C392" s="12">
        <v>5.2310038825592651</v>
      </c>
      <c r="D392" s="37">
        <v>-0.30050770050108977</v>
      </c>
      <c r="E392" s="9">
        <v>9.9804059756530387E-3</v>
      </c>
      <c r="F392" s="11">
        <v>0.9879</v>
      </c>
      <c r="G392" s="8">
        <v>427018</v>
      </c>
      <c r="H392" s="38">
        <v>-11.895649231543743</v>
      </c>
      <c r="I392" s="37">
        <v>36730.43629826</v>
      </c>
      <c r="J392" s="11">
        <v>0.33250000000000002</v>
      </c>
      <c r="K392" s="11">
        <v>41.409500000000001</v>
      </c>
      <c r="L392" s="38">
        <v>1</v>
      </c>
      <c r="M392" s="8">
        <v>444.3707</v>
      </c>
      <c r="N392" s="8">
        <v>12.620025417625904</v>
      </c>
      <c r="O392" s="8">
        <v>6.7183907618723129E-3</v>
      </c>
      <c r="P392" s="8">
        <v>9.9934843414149335E-2</v>
      </c>
      <c r="Q392" s="8">
        <v>2.6867659115771012</v>
      </c>
      <c r="R392" s="41">
        <v>2.5260158874902752E-3</v>
      </c>
      <c r="S392" s="33">
        <v>-6.0497682581134235E-2</v>
      </c>
      <c r="T392" s="36">
        <v>43</v>
      </c>
      <c r="U392" s="34">
        <v>0.10612881666666664</v>
      </c>
      <c r="V392">
        <v>105.944781034025</v>
      </c>
    </row>
    <row r="393" spans="1:22" x14ac:dyDescent="0.2">
      <c r="A393" s="35" t="s">
        <v>59</v>
      </c>
      <c r="B393" s="36">
        <v>2015</v>
      </c>
      <c r="C393" s="12">
        <v>7.590221149059551</v>
      </c>
      <c r="D393" s="37">
        <v>0.69707486289739573</v>
      </c>
      <c r="E393" s="9">
        <v>-5.6980314321617429E-4</v>
      </c>
      <c r="F393" s="11">
        <v>0.99109999999999998</v>
      </c>
      <c r="G393" s="8">
        <v>303321</v>
      </c>
      <c r="H393" s="38">
        <v>-28.967631341067591</v>
      </c>
      <c r="I393" s="37">
        <v>35933.030328059998</v>
      </c>
      <c r="J393" s="11">
        <v>0.34110000000000001</v>
      </c>
      <c r="K393" s="11">
        <v>34.226199999999999</v>
      </c>
      <c r="L393" s="38">
        <v>1</v>
      </c>
      <c r="M393" s="8">
        <v>409.83330000000001</v>
      </c>
      <c r="N393" s="8">
        <v>12.540460683503232</v>
      </c>
      <c r="O393" s="8">
        <v>7.4727068795597141E-3</v>
      </c>
      <c r="P393" s="8">
        <v>0.16770273325081245</v>
      </c>
      <c r="Q393" s="8">
        <v>1.5380943526803108</v>
      </c>
      <c r="R393" s="41">
        <v>2.3067273119925439E-3</v>
      </c>
      <c r="S393" s="33">
        <v>-9.2314533358446485E-2</v>
      </c>
      <c r="T393" s="36">
        <v>44.8</v>
      </c>
      <c r="U393" s="34">
        <v>0.16251885833333332</v>
      </c>
      <c r="V393">
        <v>121.044025684011</v>
      </c>
    </row>
    <row r="394" spans="1:22" x14ac:dyDescent="0.2">
      <c r="A394" s="35" t="s">
        <v>59</v>
      </c>
      <c r="B394" s="36">
        <v>2016</v>
      </c>
      <c r="C394" s="12">
        <v>5.4937207546124229</v>
      </c>
      <c r="D394" s="37">
        <v>-0.16118570053927631</v>
      </c>
      <c r="E394" s="9">
        <v>1.0261072644462894E-2</v>
      </c>
      <c r="F394" s="11">
        <v>0.98370000000000002</v>
      </c>
      <c r="G394" s="8">
        <v>286729</v>
      </c>
      <c r="H394" s="38">
        <v>-5.4701125210585486</v>
      </c>
      <c r="I394" s="37">
        <v>32535.022143189999</v>
      </c>
      <c r="J394" s="11">
        <v>0.29909999999999998</v>
      </c>
      <c r="K394" s="11">
        <v>44.244999999999997</v>
      </c>
      <c r="L394" s="38">
        <v>1</v>
      </c>
      <c r="M394" s="8">
        <v>339.74369999999999</v>
      </c>
      <c r="N394" s="8">
        <v>12.650556309500237</v>
      </c>
      <c r="O394" s="8">
        <v>6.7933834518593555E-3</v>
      </c>
      <c r="P394" s="8">
        <v>0.23140254421421538</v>
      </c>
      <c r="Q394" s="8">
        <v>2.1157341382670607</v>
      </c>
      <c r="R394" s="41">
        <v>2.4904896988231459E-3</v>
      </c>
      <c r="S394" s="33">
        <v>0.12570431786897612</v>
      </c>
      <c r="T394" s="36">
        <v>44.6</v>
      </c>
      <c r="U394" s="34">
        <v>0.17348815833333334</v>
      </c>
      <c r="V394">
        <v>108.79290004683401</v>
      </c>
    </row>
    <row r="395" spans="1:22" x14ac:dyDescent="0.2">
      <c r="A395" s="35" t="s">
        <v>59</v>
      </c>
      <c r="B395" s="36">
        <v>2017</v>
      </c>
      <c r="C395" s="12">
        <v>5.27119131185803</v>
      </c>
      <c r="D395" s="37">
        <v>-0.26325647049065304</v>
      </c>
      <c r="E395" s="9">
        <v>9.2023318972044351E-3</v>
      </c>
      <c r="F395" s="11">
        <v>0.98640000000000005</v>
      </c>
      <c r="G395" s="8">
        <v>239800</v>
      </c>
      <c r="H395" s="38">
        <v>-16.367022519521917</v>
      </c>
      <c r="I395" s="37">
        <v>37494.88509312</v>
      </c>
      <c r="J395" s="11">
        <v>0.307</v>
      </c>
      <c r="K395" s="11">
        <v>49.885899999999999</v>
      </c>
      <c r="L395" s="38">
        <v>1</v>
      </c>
      <c r="M395" s="8">
        <v>372.98250000000002</v>
      </c>
      <c r="N395" s="8">
        <v>12.726587756627669</v>
      </c>
      <c r="O395" s="8">
        <v>5.6760899349634873E-3</v>
      </c>
      <c r="P395" s="8">
        <v>0.2560410353614222</v>
      </c>
      <c r="Q395" s="8">
        <v>2.3160293227701967</v>
      </c>
      <c r="R395" s="41">
        <v>2.749870954583337E-3</v>
      </c>
      <c r="S395" s="33">
        <v>-1.4557344380430779E-2</v>
      </c>
      <c r="T395" s="36">
        <v>44</v>
      </c>
      <c r="U395" s="34">
        <v>6.9751091666666667E-2</v>
      </c>
      <c r="V395">
        <v>112.166141081871</v>
      </c>
    </row>
    <row r="396" spans="1:22" x14ac:dyDescent="0.2">
      <c r="A396" s="35" t="s">
        <v>59</v>
      </c>
      <c r="B396" s="36">
        <v>2018</v>
      </c>
      <c r="C396" s="37">
        <v>5.086274734307791</v>
      </c>
      <c r="D396" s="37">
        <v>-6.0032960304637652E-2</v>
      </c>
      <c r="E396" s="9">
        <v>5.8960129718551389E-3</v>
      </c>
      <c r="F396" s="37">
        <v>0.9919</v>
      </c>
      <c r="G396" s="37">
        <v>238159</v>
      </c>
      <c r="H396" s="38">
        <v>-0.68432026688907421</v>
      </c>
      <c r="I396" s="37">
        <v>39440.486649600003</v>
      </c>
      <c r="J396" s="37">
        <v>0.38679999999999998</v>
      </c>
      <c r="K396" s="37">
        <v>46.9499</v>
      </c>
      <c r="L396" s="38">
        <v>1</v>
      </c>
      <c r="M396" s="37">
        <v>389.7328</v>
      </c>
      <c r="N396" s="37">
        <v>12.808172199484165</v>
      </c>
      <c r="O396" s="37">
        <v>6.1890509260245875E-3</v>
      </c>
      <c r="P396" s="38">
        <v>0.30360659863007655</v>
      </c>
      <c r="Q396" s="37">
        <v>1.9975024483034292</v>
      </c>
      <c r="R396" s="41">
        <v>2.3066163459630955E-3</v>
      </c>
      <c r="S396" s="33">
        <v>2.2317420335519114E-2</v>
      </c>
      <c r="T396" s="36">
        <v>45.2</v>
      </c>
      <c r="U396" s="34">
        <v>9.823383333333334E-2</v>
      </c>
      <c r="V396">
        <v>110.42317934106001</v>
      </c>
    </row>
    <row r="397" spans="1:22" x14ac:dyDescent="0.2">
      <c r="A397" s="35" t="s">
        <v>59</v>
      </c>
      <c r="B397" s="36">
        <v>2019</v>
      </c>
      <c r="C397" s="37">
        <v>5.0028311882357919</v>
      </c>
      <c r="D397" s="37">
        <v>-0.22963676720634907</v>
      </c>
      <c r="E397" s="9">
        <v>6.271701640734941E-3</v>
      </c>
      <c r="F397" s="37">
        <v>0.9919</v>
      </c>
      <c r="G397" s="37">
        <v>209138</v>
      </c>
      <c r="H397" s="38">
        <v>-12.185556707913621</v>
      </c>
      <c r="I397" s="37">
        <v>21966.27144239</v>
      </c>
      <c r="J397" s="37">
        <v>0.29570000000000002</v>
      </c>
      <c r="K397" s="37">
        <v>50.782499999999999</v>
      </c>
      <c r="L397" s="38">
        <v>1</v>
      </c>
      <c r="M397" s="37">
        <v>391.56569999999999</v>
      </c>
      <c r="N397" s="37">
        <v>12.789238875700146</v>
      </c>
      <c r="O397" s="37">
        <v>4.2830536376246139E-3</v>
      </c>
      <c r="P397" s="38">
        <v>0.32326797101745136</v>
      </c>
      <c r="Q397" s="37">
        <v>1.8835784125324766</v>
      </c>
      <c r="R397" s="41">
        <v>2.281712218879703E-3</v>
      </c>
      <c r="S397" s="33">
        <v>1.5297507443604967E-2</v>
      </c>
      <c r="T397" s="36">
        <v>45.2</v>
      </c>
      <c r="U397" s="34">
        <v>0.16861495833333337</v>
      </c>
      <c r="V397">
        <v>109.009665900863</v>
      </c>
    </row>
    <row r="398" spans="1:22" x14ac:dyDescent="0.2">
      <c r="A398" s="35" t="s">
        <v>59</v>
      </c>
      <c r="B398" s="36">
        <v>2020</v>
      </c>
      <c r="C398" s="37">
        <v>4.4221745125435268</v>
      </c>
      <c r="D398" s="37">
        <v>0.27006146226258637</v>
      </c>
      <c r="E398" s="9">
        <v>5.1474728525654247E-3</v>
      </c>
      <c r="F398" s="37">
        <v>0.99339999999999995</v>
      </c>
      <c r="G398" s="37">
        <v>173877</v>
      </c>
      <c r="H398" s="38">
        <v>-16.860159320639962</v>
      </c>
      <c r="I398" s="37">
        <v>21423.709629100002</v>
      </c>
      <c r="J398" s="37">
        <v>0.36709999999999998</v>
      </c>
      <c r="K398" s="37">
        <v>48.260199999999998</v>
      </c>
      <c r="L398" s="38">
        <v>1</v>
      </c>
      <c r="M398" s="37">
        <v>483.26369999999997</v>
      </c>
      <c r="N398" s="37">
        <v>12.845768155135426</v>
      </c>
      <c r="O398" s="37">
        <v>3.6350927533033749E-3</v>
      </c>
      <c r="P398" s="38">
        <v>0.31846821200062264</v>
      </c>
      <c r="Q398" s="37">
        <v>2.0046901661195538</v>
      </c>
      <c r="R398" s="41">
        <v>2.7417964627309372E-3</v>
      </c>
      <c r="S398" s="33">
        <v>-1.3521754698139338E-2</v>
      </c>
      <c r="T398" s="36">
        <v>45.4</v>
      </c>
      <c r="U398" s="34">
        <v>0.19133301666666666</v>
      </c>
      <c r="V398">
        <v>106.77458226243699</v>
      </c>
    </row>
    <row r="399" spans="1:22" x14ac:dyDescent="0.2">
      <c r="A399" s="35" t="s">
        <v>59</v>
      </c>
      <c r="B399" s="36">
        <v>2021</v>
      </c>
      <c r="C399" s="37">
        <v>3.6606273760535162</v>
      </c>
      <c r="D399" s="37">
        <v>0.94953224932512681</v>
      </c>
      <c r="E399" s="9">
        <v>-4.9762058478730539E-3</v>
      </c>
      <c r="F399" s="37">
        <v>0.99099999999999999</v>
      </c>
      <c r="G399" s="37">
        <v>151213</v>
      </c>
      <c r="H399" s="38">
        <v>-13.034501400415236</v>
      </c>
      <c r="I399" s="37">
        <v>21166.661198880003</v>
      </c>
      <c r="J399" s="37">
        <v>0.3412</v>
      </c>
      <c r="K399" s="37">
        <v>56.311399999999999</v>
      </c>
      <c r="L399" s="38">
        <v>1</v>
      </c>
      <c r="M399" s="37">
        <v>453.0625</v>
      </c>
      <c r="N399" s="37">
        <v>12.890127170907999</v>
      </c>
      <c r="O399" s="37">
        <v>3.5389133576757843E-3</v>
      </c>
      <c r="P399" s="38">
        <v>0.33031734831991144</v>
      </c>
      <c r="Q399" s="37">
        <v>1.9268756839166175</v>
      </c>
      <c r="R399" s="41">
        <v>2.508446666950187E-3</v>
      </c>
      <c r="S399" s="33">
        <v>-8.566975901496245E-3</v>
      </c>
      <c r="T399" s="36">
        <v>45.6</v>
      </c>
      <c r="U399" s="34">
        <v>8.6284741666666664E-2</v>
      </c>
      <c r="V399">
        <v>109.754323839417</v>
      </c>
    </row>
    <row r="400" spans="1:22" x14ac:dyDescent="0.2">
      <c r="A400" s="35" t="s">
        <v>59</v>
      </c>
      <c r="B400" s="36">
        <v>2022</v>
      </c>
      <c r="C400" s="37">
        <v>3.7934245662928276</v>
      </c>
      <c r="D400" s="37">
        <v>-0.54558794810474298</v>
      </c>
      <c r="E400" s="9">
        <v>1.4932983074933825E-2</v>
      </c>
      <c r="F400" s="37">
        <v>0.99490000000000001</v>
      </c>
      <c r="G400" s="37">
        <v>117065</v>
      </c>
      <c r="H400" s="38">
        <v>-22.582714449154505</v>
      </c>
      <c r="I400" s="37">
        <v>30836.312847824996</v>
      </c>
      <c r="J400" s="37">
        <v>0.39229999999999998</v>
      </c>
      <c r="K400" s="37">
        <v>55.587499999999999</v>
      </c>
      <c r="L400" s="38">
        <v>1</v>
      </c>
      <c r="M400" s="37">
        <v>543.25530000000003</v>
      </c>
      <c r="N400" s="37">
        <v>12.797740907555287</v>
      </c>
      <c r="O400" s="37">
        <v>3.2558095005263119E-3</v>
      </c>
      <c r="P400" s="38">
        <v>0.36656327289989987</v>
      </c>
      <c r="Q400" s="37">
        <v>1.4567022875855078</v>
      </c>
      <c r="R400" s="41">
        <v>2.3470782539597051E-3</v>
      </c>
      <c r="S400" s="33">
        <v>-0.15470779172132842</v>
      </c>
      <c r="T400" s="36">
        <v>46.3</v>
      </c>
      <c r="U400" s="34">
        <v>0.19251043333333331</v>
      </c>
      <c r="V400">
        <v>131.49814044376399</v>
      </c>
    </row>
    <row r="401" spans="1:22" x14ac:dyDescent="0.2">
      <c r="A401" s="35"/>
      <c r="B401" s="36"/>
      <c r="C401" s="37"/>
      <c r="D401" s="37"/>
      <c r="E401" s="9"/>
      <c r="F401" s="37"/>
      <c r="G401" s="37"/>
      <c r="H401" s="38"/>
      <c r="I401" s="37"/>
      <c r="J401" s="37"/>
      <c r="K401" s="37"/>
      <c r="L401" s="38"/>
      <c r="M401" s="37"/>
      <c r="N401" s="37"/>
      <c r="O401" s="37"/>
      <c r="P401" s="38"/>
      <c r="Q401" s="37"/>
      <c r="R401" s="41"/>
      <c r="S401" s="33"/>
      <c r="T401" s="36"/>
      <c r="U401" s="34"/>
      <c r="V401"/>
    </row>
    <row r="402" spans="1:22" x14ac:dyDescent="0.2">
      <c r="A402" s="35" t="s">
        <v>94</v>
      </c>
      <c r="B402" s="36">
        <v>2014</v>
      </c>
      <c r="C402" s="37">
        <v>7.3354879319199204</v>
      </c>
      <c r="D402" s="37">
        <v>2.5380355980237663</v>
      </c>
      <c r="E402" s="40">
        <v>-1.2944620288445738E-2</v>
      </c>
      <c r="F402" s="37">
        <v>1.1176999999999999</v>
      </c>
      <c r="G402" s="30">
        <v>91.300800107361795</v>
      </c>
      <c r="H402">
        <v>2.7840617000000002E-2</v>
      </c>
      <c r="I402" s="37">
        <v>36427.381539450005</v>
      </c>
      <c r="J402" s="37">
        <v>3.8679000000000001</v>
      </c>
      <c r="K402" s="37">
        <v>57.930900000000001</v>
      </c>
      <c r="L402" s="38">
        <v>1</v>
      </c>
      <c r="M402" s="37">
        <v>61.441299999999998</v>
      </c>
      <c r="N402" s="37">
        <v>10.637178995452322</v>
      </c>
      <c r="O402" s="37">
        <v>2.3372987616272597E-2</v>
      </c>
      <c r="P402" s="37">
        <v>2.2274165393175026E-2</v>
      </c>
      <c r="Q402" s="37">
        <v>0.45655392047937693</v>
      </c>
      <c r="R402" s="41">
        <v>8.0770483112191892E-3</v>
      </c>
      <c r="S402" s="33">
        <v>4.7835816189875625E-2</v>
      </c>
      <c r="T402" s="36">
        <v>43.4</v>
      </c>
      <c r="U402" s="34">
        <v>4.1471583333333333E-2</v>
      </c>
      <c r="V402">
        <v>44.395154304209697</v>
      </c>
    </row>
    <row r="403" spans="1:22" x14ac:dyDescent="0.2">
      <c r="A403" s="35" t="s">
        <v>94</v>
      </c>
      <c r="B403" s="36">
        <v>2015</v>
      </c>
      <c r="C403" s="37">
        <v>7.2910885280471707</v>
      </c>
      <c r="D403" s="37">
        <v>2.2349698745464979</v>
      </c>
      <c r="E403" s="40">
        <v>-7.3073230396289478E-3</v>
      </c>
      <c r="F403" s="37">
        <v>1.093</v>
      </c>
      <c r="G403" s="30">
        <v>78.589463559566369</v>
      </c>
      <c r="H403">
        <v>-0.13922481</v>
      </c>
      <c r="I403" s="37">
        <v>31975.97847808</v>
      </c>
      <c r="J403" s="37">
        <v>3.8047</v>
      </c>
      <c r="K403" s="37">
        <v>59.950699999999998</v>
      </c>
      <c r="L403" s="38">
        <v>1</v>
      </c>
      <c r="M403" s="37">
        <v>48.840400000000002</v>
      </c>
      <c r="N403" s="37">
        <v>10.677093834065888</v>
      </c>
      <c r="O403" s="37">
        <v>2.1595348318786026E-2</v>
      </c>
      <c r="P403" s="37">
        <v>2.1195956923245222E-2</v>
      </c>
      <c r="Q403" s="37">
        <v>0.49469947358344674</v>
      </c>
      <c r="R403" s="41">
        <v>7.6977022236797065E-3</v>
      </c>
      <c r="S403" s="33">
        <v>3.0127105290255505E-2</v>
      </c>
      <c r="T403" s="36">
        <v>45.2</v>
      </c>
      <c r="U403" s="34">
        <v>0.18857363333333335</v>
      </c>
      <c r="V403">
        <v>45.502839942143098</v>
      </c>
    </row>
    <row r="404" spans="1:22" x14ac:dyDescent="0.2">
      <c r="A404" s="35" t="s">
        <v>94</v>
      </c>
      <c r="B404" s="36">
        <v>2016</v>
      </c>
      <c r="C404" s="37">
        <v>6.8690732151710057</v>
      </c>
      <c r="D404" s="37">
        <v>6.292041975481065</v>
      </c>
      <c r="E404" s="40">
        <v>-4.7865029387920741E-2</v>
      </c>
      <c r="F404" s="37">
        <v>1.0849</v>
      </c>
      <c r="G404" s="30">
        <v>70.460321519576809</v>
      </c>
      <c r="H404">
        <v>-0.103438065</v>
      </c>
      <c r="I404" s="37">
        <v>36169.046681340005</v>
      </c>
      <c r="J404" s="37">
        <v>3.7932999999999999</v>
      </c>
      <c r="K404" s="37">
        <v>62.972099999999998</v>
      </c>
      <c r="L404" s="38">
        <v>1</v>
      </c>
      <c r="M404" s="37">
        <v>46.220100000000002</v>
      </c>
      <c r="N404" s="37">
        <v>10.755118373505272</v>
      </c>
      <c r="O404" s="37">
        <v>1.8927456468677339E-2</v>
      </c>
      <c r="P404" s="37">
        <v>1.7923333977294165E-2</v>
      </c>
      <c r="Q404" s="37">
        <v>0.49090749819583923</v>
      </c>
      <c r="R404" s="41">
        <v>7.7888188175692548E-3</v>
      </c>
      <c r="S404" s="33">
        <v>3.9749702840340337E-2</v>
      </c>
      <c r="T404" s="36">
        <v>46</v>
      </c>
      <c r="U404" s="34">
        <v>0.37347397500000001</v>
      </c>
      <c r="V404">
        <v>47.4924638585099</v>
      </c>
    </row>
    <row r="405" spans="1:22" x14ac:dyDescent="0.2">
      <c r="A405" s="35" t="s">
        <v>94</v>
      </c>
      <c r="B405" s="36">
        <v>2017</v>
      </c>
      <c r="C405" s="37">
        <v>6.5422481110763711</v>
      </c>
      <c r="D405" s="37">
        <v>1.6402622981290709</v>
      </c>
      <c r="E405" s="40">
        <v>-3.591828337634453E-3</v>
      </c>
      <c r="F405" s="37">
        <v>1.159</v>
      </c>
      <c r="G405" s="30">
        <v>76.894450944203058</v>
      </c>
      <c r="H405">
        <v>9.1315641000000003E-2</v>
      </c>
      <c r="I405" s="37">
        <v>39302.124052520005</v>
      </c>
      <c r="J405" s="37">
        <v>4.0115999999999996</v>
      </c>
      <c r="K405" s="37">
        <v>62.268999999999998</v>
      </c>
      <c r="L405" s="38">
        <v>1</v>
      </c>
      <c r="M405" s="37">
        <v>43.736699999999999</v>
      </c>
      <c r="N405" s="37">
        <v>10.885015673157987</v>
      </c>
      <c r="O405" s="37">
        <v>1.8803187392686615E-2</v>
      </c>
      <c r="P405" s="37">
        <v>1.6362032358878772E-2</v>
      </c>
      <c r="Q405" s="37">
        <v>0.48038987448097353</v>
      </c>
      <c r="R405" s="41">
        <v>8.2887463569361209E-3</v>
      </c>
      <c r="S405" s="33">
        <v>3.0925609124340198E-2</v>
      </c>
      <c r="T405" s="36">
        <v>43.6</v>
      </c>
      <c r="U405" s="34">
        <v>0.13549924166666663</v>
      </c>
      <c r="V405">
        <v>50.403719793717698</v>
      </c>
    </row>
    <row r="406" spans="1:22" x14ac:dyDescent="0.2">
      <c r="A406" s="35" t="s">
        <v>94</v>
      </c>
      <c r="B406" s="36">
        <v>2018</v>
      </c>
      <c r="C406" s="37">
        <v>6.6584668843256631</v>
      </c>
      <c r="D406" s="37">
        <v>1.8517932790170448</v>
      </c>
      <c r="E406" s="40">
        <v>7.4158471076977148E-4</v>
      </c>
      <c r="F406" s="37">
        <v>1.0827</v>
      </c>
      <c r="G406" s="30">
        <v>95.048696241906441</v>
      </c>
      <c r="H406">
        <v>0.236093048</v>
      </c>
      <c r="I406" s="37">
        <v>38142.344000000005</v>
      </c>
      <c r="J406" s="37">
        <v>4.2775999999999996</v>
      </c>
      <c r="K406" s="37">
        <v>62.989800000000002</v>
      </c>
      <c r="L406" s="38">
        <v>1</v>
      </c>
      <c r="M406" s="37">
        <v>43.767600000000002</v>
      </c>
      <c r="N406" s="37">
        <v>10.963081774183509</v>
      </c>
      <c r="O406" s="37">
        <v>1.4362033699618065E-2</v>
      </c>
      <c r="P406" s="37">
        <v>1.7283862470539302E-2</v>
      </c>
      <c r="Q406" s="37">
        <v>0.70448611558194674</v>
      </c>
      <c r="R406" s="41">
        <v>8.3569240772311069E-3</v>
      </c>
      <c r="S406" s="33">
        <v>5.5897215912753283E-2</v>
      </c>
      <c r="T406" s="36">
        <v>45.9</v>
      </c>
      <c r="U406" s="34">
        <v>0.15967181666666666</v>
      </c>
      <c r="V406">
        <v>52.661429953968302</v>
      </c>
    </row>
    <row r="407" spans="1:22" x14ac:dyDescent="0.2">
      <c r="A407" s="35" t="s">
        <v>94</v>
      </c>
      <c r="B407" s="36">
        <v>2019</v>
      </c>
      <c r="C407" s="37">
        <v>8.1462770713678641</v>
      </c>
      <c r="D407" s="37">
        <v>1.943352150111975</v>
      </c>
      <c r="E407" s="40">
        <v>-2.3610688134600212E-3</v>
      </c>
      <c r="F407" s="37">
        <v>1.103</v>
      </c>
      <c r="G407" s="30">
        <v>101.09162060474431</v>
      </c>
      <c r="H407">
        <v>6.3577141000000004E-2</v>
      </c>
      <c r="I407" s="37">
        <v>49755.543474149999</v>
      </c>
      <c r="J407" s="37">
        <v>4.6947000000000001</v>
      </c>
      <c r="K407" s="37">
        <v>59.452399999999997</v>
      </c>
      <c r="L407" s="38">
        <v>1</v>
      </c>
      <c r="M407" s="37">
        <v>48.454700000000003</v>
      </c>
      <c r="N407" s="37">
        <v>11.049208059950121</v>
      </c>
      <c r="O407" s="37">
        <v>1.4776663055487138E-2</v>
      </c>
      <c r="P407" s="37">
        <v>1.9248407877959794E-2</v>
      </c>
      <c r="Q407" s="37">
        <v>0.68732999330513223</v>
      </c>
      <c r="R407" s="41">
        <v>8.895155547612027E-3</v>
      </c>
      <c r="S407" s="33">
        <v>8.6441425188647905E-2</v>
      </c>
      <c r="T407" s="36">
        <v>45.8</v>
      </c>
      <c r="U407" s="34">
        <v>0.15531761666666663</v>
      </c>
      <c r="V407">
        <v>51.795782651733298</v>
      </c>
    </row>
    <row r="408" spans="1:22" x14ac:dyDescent="0.2">
      <c r="A408" s="35" t="s">
        <v>94</v>
      </c>
      <c r="B408" s="36">
        <v>2020</v>
      </c>
      <c r="C408" s="37">
        <v>5.1712470263115815</v>
      </c>
      <c r="D408" s="37">
        <v>4.6488427529773233</v>
      </c>
      <c r="E408" s="40">
        <v>-1.049303488779969E-2</v>
      </c>
      <c r="F408" s="37">
        <v>1.0242</v>
      </c>
      <c r="G408" s="30">
        <v>123.15131333017388</v>
      </c>
      <c r="H408">
        <v>0.21821484899999999</v>
      </c>
      <c r="I408" s="37">
        <v>128384.5304781</v>
      </c>
      <c r="J408" s="37">
        <v>4.8785999999999996</v>
      </c>
      <c r="K408" s="37">
        <v>56.145499999999998</v>
      </c>
      <c r="L408" s="38">
        <v>1</v>
      </c>
      <c r="M408" s="37">
        <v>56.344299999999997</v>
      </c>
      <c r="N408" s="37">
        <v>11.160383616584079</v>
      </c>
      <c r="O408" s="37">
        <v>2.5607119887635987E-2</v>
      </c>
      <c r="P408" s="37">
        <v>2.0777947898910118E-2</v>
      </c>
      <c r="Q408" s="37">
        <v>0.50686515298975932</v>
      </c>
      <c r="R408" s="41">
        <v>8.8049617377286352E-3</v>
      </c>
      <c r="S408" s="33">
        <v>-3.9998203799255165E-2</v>
      </c>
      <c r="T408" s="36">
        <v>45.5</v>
      </c>
      <c r="U408" s="34">
        <v>0.20053407500000001</v>
      </c>
      <c r="V408">
        <v>49.624096002632797</v>
      </c>
    </row>
    <row r="409" spans="1:22" x14ac:dyDescent="0.2">
      <c r="A409" s="35" t="s">
        <v>94</v>
      </c>
      <c r="B409" s="36">
        <v>2021</v>
      </c>
      <c r="C409" s="37">
        <v>7.0912552669643425</v>
      </c>
      <c r="D409" s="37">
        <v>-11.771459116959189</v>
      </c>
      <c r="E409" s="40">
        <v>0.13876135236729872</v>
      </c>
      <c r="F409" s="37">
        <v>1.0307999999999999</v>
      </c>
      <c r="G409" s="30">
        <v>109.13774164457389</v>
      </c>
      <c r="H409">
        <v>-0.11379149199999999</v>
      </c>
      <c r="I409" s="37">
        <v>136756.49437168002</v>
      </c>
      <c r="J409" s="37">
        <v>4.4695999999999998</v>
      </c>
      <c r="K409" s="37">
        <v>58.518500000000003</v>
      </c>
      <c r="L409" s="38">
        <v>1</v>
      </c>
      <c r="M409" s="37">
        <v>50.999699999999997</v>
      </c>
      <c r="N409" s="37">
        <v>11.170096614217599</v>
      </c>
      <c r="O409" s="37">
        <v>2.8195622510503966E-2</v>
      </c>
      <c r="P409" s="37">
        <v>1.9002657457254588E-2</v>
      </c>
      <c r="Q409" s="37">
        <v>0.24269220511894252</v>
      </c>
      <c r="R409" s="41">
        <v>8.5171751927269907E-3</v>
      </c>
      <c r="S409" s="33">
        <v>8.9388014366234975E-2</v>
      </c>
      <c r="T409" s="36">
        <v>46.7</v>
      </c>
      <c r="U409" s="34">
        <v>0.33326032500000008</v>
      </c>
      <c r="V409">
        <v>49.254597728841198</v>
      </c>
    </row>
    <row r="410" spans="1:22" x14ac:dyDescent="0.2">
      <c r="A410" s="35" t="s">
        <v>94</v>
      </c>
      <c r="B410" s="36">
        <v>2022</v>
      </c>
      <c r="C410" s="37">
        <v>8.4433573515988005</v>
      </c>
      <c r="D410" s="37">
        <v>1.0783446006460551</v>
      </c>
      <c r="E410" s="40">
        <v>9.3939257744070932E-3</v>
      </c>
      <c r="F410" s="37">
        <v>1.0253000000000001</v>
      </c>
      <c r="G410" s="30">
        <v>121.45315600000001</v>
      </c>
      <c r="H410">
        <v>0.11284285500000001</v>
      </c>
      <c r="I410" s="37">
        <v>95749.7835796</v>
      </c>
      <c r="J410" s="37">
        <v>4.6641000000000004</v>
      </c>
      <c r="K410" s="37">
        <v>54.813099999999999</v>
      </c>
      <c r="L410" s="38">
        <v>1</v>
      </c>
      <c r="M410" s="37">
        <v>45.992400000000004</v>
      </c>
      <c r="N410" s="37">
        <v>11.200688630092973</v>
      </c>
      <c r="O410" s="37">
        <v>2.9182595832891768E-2</v>
      </c>
      <c r="P410" s="37">
        <v>2.0282014061635469E-2</v>
      </c>
      <c r="Q410" s="37">
        <v>0.27105052959525178</v>
      </c>
      <c r="R410" s="41">
        <v>8.1239500193681768E-3</v>
      </c>
      <c r="S410" s="33">
        <v>2.5874885310194974E-2</v>
      </c>
      <c r="T410" s="36">
        <v>52.3</v>
      </c>
      <c r="U410" s="34">
        <v>0.29102359166666669</v>
      </c>
      <c r="V410">
        <v>54.477785837204998</v>
      </c>
    </row>
    <row r="411" spans="1:22" x14ac:dyDescent="0.2">
      <c r="A411" s="35"/>
      <c r="B411" s="36"/>
      <c r="C411" s="37"/>
      <c r="D411" s="37"/>
      <c r="E411" s="40"/>
      <c r="F411" s="37"/>
      <c r="G411" s="30"/>
      <c r="H411"/>
      <c r="I411" s="37"/>
      <c r="J411" s="37"/>
      <c r="K411" s="37"/>
      <c r="L411" s="38"/>
      <c r="M411" s="37"/>
      <c r="N411" s="37"/>
      <c r="O411" s="37"/>
      <c r="P411" s="37"/>
      <c r="Q411" s="37"/>
      <c r="R411" s="41"/>
      <c r="S411" s="33"/>
      <c r="T411" s="36"/>
      <c r="U411" s="34"/>
      <c r="V411"/>
    </row>
    <row r="412" spans="1:22" x14ac:dyDescent="0.2">
      <c r="A412" s="35" t="s">
        <v>62</v>
      </c>
      <c r="B412" s="36">
        <v>2014</v>
      </c>
      <c r="C412" s="37">
        <v>13.609609694287718</v>
      </c>
      <c r="D412" s="37">
        <v>0.91729841857070837</v>
      </c>
      <c r="E412" s="40">
        <v>7.7509649265027703E-3</v>
      </c>
      <c r="F412" s="37">
        <v>1.3361000000000001</v>
      </c>
      <c r="G412" s="37">
        <v>30016.83</v>
      </c>
      <c r="H412" s="38">
        <v>8.8134026448581988</v>
      </c>
      <c r="I412" s="37">
        <v>19664.726487300002</v>
      </c>
      <c r="J412" s="37">
        <v>5.0812999999999997</v>
      </c>
      <c r="K412" s="37">
        <v>63.133099999999999</v>
      </c>
      <c r="L412" s="38">
        <v>1</v>
      </c>
      <c r="M412" s="37">
        <v>153.5367</v>
      </c>
      <c r="N412" s="37">
        <v>9.9237645672927819</v>
      </c>
      <c r="O412" s="37">
        <v>6.7316530638540147E-3</v>
      </c>
      <c r="P412" s="38">
        <v>4.8071015199940295E-2</v>
      </c>
      <c r="Q412" s="37">
        <v>1.7080556589853755</v>
      </c>
      <c r="R412" s="41">
        <v>1.2678502193144776E-2</v>
      </c>
      <c r="S412" s="33">
        <v>9.8240353028793539E-2</v>
      </c>
      <c r="T412" s="33">
        <v>29.2</v>
      </c>
      <c r="U412" s="34">
        <v>0.144828875</v>
      </c>
      <c r="V412">
        <v>61.029514460784299</v>
      </c>
    </row>
    <row r="413" spans="1:22" x14ac:dyDescent="0.2">
      <c r="A413" s="35" t="s">
        <v>62</v>
      </c>
      <c r="B413" s="36">
        <v>2015</v>
      </c>
      <c r="C413" s="37">
        <v>14.655694060309067</v>
      </c>
      <c r="D413" s="37">
        <v>2.6808844660074578</v>
      </c>
      <c r="E413" s="40">
        <v>-9.9290720084969173E-3</v>
      </c>
      <c r="F413" s="37">
        <v>1.5336000000000001</v>
      </c>
      <c r="G413" s="37">
        <v>43972</v>
      </c>
      <c r="H413" s="38">
        <v>46.491151797175114</v>
      </c>
      <c r="I413" s="37">
        <v>22340.409075449999</v>
      </c>
      <c r="J413" s="37">
        <v>5.0251999999999999</v>
      </c>
      <c r="K413" s="37">
        <v>65.811499999999995</v>
      </c>
      <c r="L413" s="38">
        <v>1</v>
      </c>
      <c r="M413" s="37">
        <v>143.9913</v>
      </c>
      <c r="N413" s="37">
        <v>10.079331109825656</v>
      </c>
      <c r="O413" s="37">
        <v>7.0372749429147476E-3</v>
      </c>
      <c r="P413" s="38">
        <v>3.9321375751748794E-2</v>
      </c>
      <c r="Q413" s="37">
        <v>1.5310185657862918</v>
      </c>
      <c r="R413" s="41">
        <v>1.2253729391333944E-2</v>
      </c>
      <c r="S413" s="33">
        <v>3.1612495952536568E-2</v>
      </c>
      <c r="T413" s="42">
        <v>29.3</v>
      </c>
      <c r="U413" s="34">
        <v>0.17680460000000001</v>
      </c>
      <c r="V413">
        <v>64.151944463278596</v>
      </c>
    </row>
    <row r="414" spans="1:22" x14ac:dyDescent="0.2">
      <c r="A414" s="35" t="s">
        <v>62</v>
      </c>
      <c r="B414" s="36">
        <v>2016</v>
      </c>
      <c r="C414" s="37">
        <v>11.702628395188249</v>
      </c>
      <c r="D414" s="37">
        <v>-2.1379197720905894</v>
      </c>
      <c r="E414" s="40">
        <v>3.4970174019812401E-2</v>
      </c>
      <c r="F414" s="37">
        <v>1.3798999999999999</v>
      </c>
      <c r="G414" s="37">
        <v>206476.52000000002</v>
      </c>
      <c r="H414" s="38">
        <v>369.56363140180122</v>
      </c>
      <c r="I414" s="37">
        <v>45610.750639409998</v>
      </c>
      <c r="J414" s="37">
        <v>5.1645000000000003</v>
      </c>
      <c r="K414" s="37">
        <v>64.183300000000003</v>
      </c>
      <c r="L414" s="38">
        <v>1</v>
      </c>
      <c r="M414" s="37">
        <v>132.63570000000001</v>
      </c>
      <c r="N414" s="37">
        <v>10.502437863082356</v>
      </c>
      <c r="O414" s="37">
        <v>1.0768334135878342E-2</v>
      </c>
      <c r="P414" s="38">
        <v>4.4190358070766461E-2</v>
      </c>
      <c r="Q414" s="37">
        <v>2.2140814342925328</v>
      </c>
      <c r="R414" s="41">
        <v>1.0766478031472062E-2</v>
      </c>
      <c r="S414" s="33">
        <v>9.0896369032459928E-2</v>
      </c>
      <c r="T414" s="42">
        <v>29.6</v>
      </c>
      <c r="U414" s="34">
        <v>0.16582907499999999</v>
      </c>
      <c r="V414">
        <v>67.195312807389399</v>
      </c>
    </row>
    <row r="415" spans="1:22" x14ac:dyDescent="0.2">
      <c r="A415" s="35" t="s">
        <v>62</v>
      </c>
      <c r="B415" s="36">
        <v>2017</v>
      </c>
      <c r="C415" s="37">
        <v>12.529858447036284</v>
      </c>
      <c r="D415" s="37">
        <v>1.7112992670753988</v>
      </c>
      <c r="E415" s="40">
        <v>-5.72017270225694E-3</v>
      </c>
      <c r="F415" s="37">
        <v>1.4419999999999999</v>
      </c>
      <c r="G415" s="37">
        <v>155188.69999999998</v>
      </c>
      <c r="H415" s="38">
        <v>-24.839541077116191</v>
      </c>
      <c r="I415" s="37">
        <v>58644.721935900001</v>
      </c>
      <c r="J415" s="37">
        <v>4.5743999999999998</v>
      </c>
      <c r="K415" s="37">
        <v>62.983400000000003</v>
      </c>
      <c r="L415" s="38">
        <v>1</v>
      </c>
      <c r="M415" s="37">
        <v>130.89150000000001</v>
      </c>
      <c r="N415" s="37">
        <v>10.659127796523123</v>
      </c>
      <c r="O415" s="37">
        <v>1.1010061272585412E-2</v>
      </c>
      <c r="P415" s="38">
        <v>8.1631460327297234E-2</v>
      </c>
      <c r="Q415" s="37">
        <v>1.5626861416437556</v>
      </c>
      <c r="R415" s="41">
        <v>1.086443719216452E-2</v>
      </c>
      <c r="S415" s="33">
        <v>0.15542873309395608</v>
      </c>
      <c r="T415" s="42">
        <v>32.6</v>
      </c>
      <c r="U415" s="34">
        <v>0.18246399999999999</v>
      </c>
      <c r="V415">
        <v>65.121568645066006</v>
      </c>
    </row>
    <row r="416" spans="1:22" x14ac:dyDescent="0.2">
      <c r="A416" s="35" t="s">
        <v>62</v>
      </c>
      <c r="B416" s="36">
        <v>2018</v>
      </c>
      <c r="C416" s="37">
        <v>13.246668646085871</v>
      </c>
      <c r="D416" s="37">
        <v>1.1613695802401618</v>
      </c>
      <c r="E416" s="40">
        <v>4.347173442081631E-3</v>
      </c>
      <c r="F416" s="37">
        <v>1.4417</v>
      </c>
      <c r="G416" s="37">
        <v>162650.68</v>
      </c>
      <c r="H416" s="38">
        <v>4.8083268949350124</v>
      </c>
      <c r="I416" s="37">
        <v>62494.359697140004</v>
      </c>
      <c r="J416" s="37">
        <v>4.4574999999999996</v>
      </c>
      <c r="K416" s="37">
        <v>62.143900000000002</v>
      </c>
      <c r="L416" s="38">
        <v>1</v>
      </c>
      <c r="M416" s="37">
        <v>119.01600000000001</v>
      </c>
      <c r="N416" s="37">
        <v>10.856020124739615</v>
      </c>
      <c r="O416" s="37">
        <v>1.0378337170980852E-2</v>
      </c>
      <c r="P416" s="38">
        <v>5.3572401097400184E-2</v>
      </c>
      <c r="Q416" s="37">
        <v>1.3612733580304377</v>
      </c>
      <c r="R416" s="41">
        <v>1.0884862445201161E-2</v>
      </c>
      <c r="S416" s="33">
        <v>1.9406327007352973E-2</v>
      </c>
      <c r="T416" s="42">
        <v>36</v>
      </c>
      <c r="U416" s="34">
        <v>7.0109500000000005E-2</v>
      </c>
      <c r="V416">
        <v>68.389467093542095</v>
      </c>
    </row>
    <row r="417" spans="1:22" x14ac:dyDescent="0.2">
      <c r="A417" s="35" t="s">
        <v>62</v>
      </c>
      <c r="B417" s="36">
        <v>2019</v>
      </c>
      <c r="C417" s="37">
        <v>12.902865471436829</v>
      </c>
      <c r="D417" s="37">
        <v>-0.64827727759436671</v>
      </c>
      <c r="E417" s="40">
        <v>2.0369799302430991E-2</v>
      </c>
      <c r="F417" s="37">
        <v>1.4971000000000001</v>
      </c>
      <c r="G417" s="37">
        <v>167116.32999999999</v>
      </c>
      <c r="H417" s="38">
        <v>2.745546468050422</v>
      </c>
      <c r="I417" s="37">
        <v>69083.271456179995</v>
      </c>
      <c r="J417" s="37">
        <v>4.3204000000000002</v>
      </c>
      <c r="K417" s="37">
        <v>62.261800000000001</v>
      </c>
      <c r="L417" s="38">
        <v>1</v>
      </c>
      <c r="M417" s="37">
        <v>117.1671</v>
      </c>
      <c r="N417" s="37">
        <v>10.950878512648137</v>
      </c>
      <c r="O417" s="37">
        <v>1.1865833761815726E-2</v>
      </c>
      <c r="P417" s="38">
        <v>5.9996265743016371E-2</v>
      </c>
      <c r="Q417" s="37">
        <v>1.4359882336557974</v>
      </c>
      <c r="R417" s="41">
        <v>1.0959023258259955E-2</v>
      </c>
      <c r="S417" s="33">
        <v>4.9086221200260238E-2</v>
      </c>
      <c r="T417" s="42">
        <v>36.700000000000003</v>
      </c>
      <c r="U417" s="34">
        <v>0.19089490833333334</v>
      </c>
      <c r="V417">
        <v>70.420340535955106</v>
      </c>
    </row>
    <row r="418" spans="1:22" x14ac:dyDescent="0.2">
      <c r="A418" s="35" t="s">
        <v>62</v>
      </c>
      <c r="B418" s="36">
        <v>2020</v>
      </c>
      <c r="C418" s="37">
        <v>13.441394907025629</v>
      </c>
      <c r="D418" s="37">
        <v>1.3320574351811902</v>
      </c>
      <c r="E418" s="40">
        <v>1.5893943642003135E-2</v>
      </c>
      <c r="F418" s="37">
        <v>1.4079999999999999</v>
      </c>
      <c r="G418" s="37">
        <v>145028.69</v>
      </c>
      <c r="H418" s="38">
        <v>-13.216925000686638</v>
      </c>
      <c r="I418" s="37">
        <v>72807.991254320004</v>
      </c>
      <c r="J418" s="37">
        <v>4.4649000000000001</v>
      </c>
      <c r="K418" s="37">
        <v>62.190899999999999</v>
      </c>
      <c r="L418" s="38">
        <v>1</v>
      </c>
      <c r="M418" s="37">
        <v>99.185599999999994</v>
      </c>
      <c r="N418" s="37">
        <v>10.981841526898501</v>
      </c>
      <c r="O418" s="37">
        <v>1.3692630285784713E-2</v>
      </c>
      <c r="P418" s="38">
        <v>0.12197309008568907</v>
      </c>
      <c r="Q418" s="37">
        <v>1.392133723523058</v>
      </c>
      <c r="R418" s="41">
        <v>9.7291727341097031E-3</v>
      </c>
      <c r="S418" s="33">
        <v>-5.7839783974402245E-2</v>
      </c>
      <c r="T418" s="42">
        <v>41.3</v>
      </c>
      <c r="U418" s="34">
        <v>0.12185847500000001</v>
      </c>
      <c r="V418">
        <v>74.099566883605206</v>
      </c>
    </row>
    <row r="419" spans="1:22" x14ac:dyDescent="0.2">
      <c r="A419" s="35" t="s">
        <v>62</v>
      </c>
      <c r="B419" s="36">
        <v>2021</v>
      </c>
      <c r="C419" s="37">
        <v>14.311879372490813</v>
      </c>
      <c r="D419" s="37">
        <v>2.9697775380337372</v>
      </c>
      <c r="E419" s="40">
        <v>-1.278207718962051E-2</v>
      </c>
      <c r="F419" s="37">
        <v>1.5483</v>
      </c>
      <c r="G419" s="37">
        <v>152715.14000000001</v>
      </c>
      <c r="H419" s="38">
        <v>5.2999513406623278</v>
      </c>
      <c r="I419" s="37">
        <v>113126.662107</v>
      </c>
      <c r="J419" s="37">
        <v>4.5854999999999997</v>
      </c>
      <c r="K419" s="37">
        <v>64.369200000000006</v>
      </c>
      <c r="L419" s="38">
        <v>1</v>
      </c>
      <c r="M419" s="37">
        <v>59.095100000000002</v>
      </c>
      <c r="N419" s="37">
        <v>11.089067248477214</v>
      </c>
      <c r="O419" s="37">
        <v>1.8374938850903261E-2</v>
      </c>
      <c r="P419" s="38">
        <v>8.0242801793245278E-2</v>
      </c>
      <c r="Q419" s="37">
        <v>0.98467630083412971</v>
      </c>
      <c r="R419" s="41">
        <v>9.2117798928871338E-3</v>
      </c>
      <c r="S419" s="33">
        <v>0.1791856081844693</v>
      </c>
      <c r="T419" s="42">
        <v>39.4</v>
      </c>
      <c r="U419" s="34">
        <v>6.0301849999999997E-2</v>
      </c>
      <c r="V419">
        <v>73.918012815435105</v>
      </c>
    </row>
    <row r="420" spans="1:22" x14ac:dyDescent="0.2">
      <c r="A420" s="35" t="s">
        <v>62</v>
      </c>
      <c r="B420" s="36">
        <v>2022</v>
      </c>
      <c r="C420" s="37">
        <v>15.482427753633173</v>
      </c>
      <c r="D420" s="37">
        <v>-0.34138732730563093</v>
      </c>
      <c r="E420" s="40">
        <v>1.9254945647945026E-2</v>
      </c>
      <c r="F420" s="37">
        <v>1.4591000000000001</v>
      </c>
      <c r="G420" s="37">
        <v>219608.65</v>
      </c>
      <c r="H420" s="38">
        <v>43.802801739238149</v>
      </c>
      <c r="I420" s="37">
        <v>96610.491830600004</v>
      </c>
      <c r="J420" s="37">
        <v>4.6372</v>
      </c>
      <c r="K420" s="37">
        <v>62.233899999999998</v>
      </c>
      <c r="L420" s="38">
        <v>1</v>
      </c>
      <c r="M420" s="37">
        <v>60.162300000000002</v>
      </c>
      <c r="N420" s="37">
        <v>11.184281586836178</v>
      </c>
      <c r="O420" s="37">
        <v>1.5307013409720047E-2</v>
      </c>
      <c r="P420" s="38">
        <v>7.3051848786840359E-2</v>
      </c>
      <c r="Q420" s="37">
        <v>0.72443676330347995</v>
      </c>
      <c r="R420" s="41">
        <v>9.9716171887166936E-3</v>
      </c>
      <c r="S420" s="33">
        <v>7.452704133482646E-2</v>
      </c>
      <c r="T420" s="42">
        <v>40.9</v>
      </c>
      <c r="U420" s="34">
        <v>0.19755554166666667</v>
      </c>
      <c r="V420">
        <v>78.604490582991602</v>
      </c>
    </row>
    <row r="421" spans="1:22" x14ac:dyDescent="0.2">
      <c r="A421" s="35"/>
      <c r="B421" s="36"/>
      <c r="C421" s="37"/>
      <c r="D421" s="37"/>
      <c r="E421" s="40"/>
      <c r="F421" s="37"/>
      <c r="G421" s="37"/>
      <c r="H421" s="38"/>
      <c r="I421" s="37"/>
      <c r="J421" s="37"/>
      <c r="K421" s="37"/>
      <c r="L421" s="38"/>
      <c r="M421" s="37"/>
      <c r="N421" s="37"/>
      <c r="O421" s="37"/>
      <c r="P421" s="38"/>
      <c r="Q421" s="37"/>
      <c r="R421" s="41"/>
      <c r="S421" s="33"/>
      <c r="T421" s="42"/>
      <c r="U421" s="34"/>
      <c r="V421"/>
    </row>
    <row r="422" spans="1:22" x14ac:dyDescent="0.2">
      <c r="A422" s="35" t="s">
        <v>73</v>
      </c>
      <c r="B422" s="36">
        <v>2014</v>
      </c>
      <c r="C422" s="8">
        <v>2.8772775001160675</v>
      </c>
      <c r="D422" s="37">
        <v>2.4547837859823463</v>
      </c>
      <c r="E422" s="6">
        <v>-7.2447908176537677E-3</v>
      </c>
      <c r="F422" s="8">
        <v>1.0782</v>
      </c>
      <c r="G422" s="37">
        <v>481233.74</v>
      </c>
      <c r="H422" s="38">
        <v>4.3679840386302855</v>
      </c>
      <c r="I422" s="37">
        <v>52535.583219040003</v>
      </c>
      <c r="J422" s="8">
        <v>3.5562</v>
      </c>
      <c r="K422" s="8">
        <v>60.3095</v>
      </c>
      <c r="L422" s="38">
        <v>1</v>
      </c>
      <c r="M422" s="8">
        <v>186.08279999999999</v>
      </c>
      <c r="N422" s="8">
        <v>11.074549627780206</v>
      </c>
      <c r="O422" s="8">
        <v>8.8980150721662248E-3</v>
      </c>
      <c r="P422" s="8">
        <v>7.2695159629831099E-2</v>
      </c>
      <c r="Q422" s="8">
        <v>2.9644122995199473</v>
      </c>
      <c r="R422" s="41">
        <v>8.8349880904125266E-3</v>
      </c>
      <c r="S422" s="33">
        <v>9.8240353028793539E-2</v>
      </c>
      <c r="T422" s="33">
        <v>29.2</v>
      </c>
      <c r="U422" s="34">
        <v>0.144828875</v>
      </c>
      <c r="V422">
        <v>61.029514460784299</v>
      </c>
    </row>
    <row r="423" spans="1:22" x14ac:dyDescent="0.2">
      <c r="A423" s="35" t="s">
        <v>73</v>
      </c>
      <c r="B423" s="36">
        <v>2015</v>
      </c>
      <c r="C423" s="8">
        <v>2.8862957928371054</v>
      </c>
      <c r="D423" s="37">
        <v>3.1656459263727572</v>
      </c>
      <c r="E423" s="6">
        <v>-1.0305358827242865E-2</v>
      </c>
      <c r="F423" s="8">
        <v>1.1879999999999999</v>
      </c>
      <c r="G423" s="37">
        <v>466341.37</v>
      </c>
      <c r="H423" s="38">
        <v>-3.0946229996259187</v>
      </c>
      <c r="I423" s="37">
        <v>65967.083912150003</v>
      </c>
      <c r="J423" s="8">
        <v>3.6137000000000001</v>
      </c>
      <c r="K423" s="8">
        <v>59.055999999999997</v>
      </c>
      <c r="L423" s="38">
        <v>1</v>
      </c>
      <c r="M423" s="8">
        <v>196.37469999999999</v>
      </c>
      <c r="N423" s="8">
        <v>11.225085506721808</v>
      </c>
      <c r="O423" s="8">
        <v>9.3762325261017038E-3</v>
      </c>
      <c r="P423" s="8">
        <v>7.2076122721673547E-2</v>
      </c>
      <c r="Q423" s="8">
        <v>2.8651827721706922</v>
      </c>
      <c r="R423" s="41">
        <v>8.9106575488233954E-3</v>
      </c>
      <c r="S423" s="33">
        <v>3.1612495952536568E-2</v>
      </c>
      <c r="T423" s="42">
        <v>29.3</v>
      </c>
      <c r="U423" s="34">
        <v>0.17680460000000001</v>
      </c>
      <c r="V423">
        <v>64.151944463278596</v>
      </c>
    </row>
    <row r="424" spans="1:22" x14ac:dyDescent="0.2">
      <c r="A424" s="35" t="s">
        <v>73</v>
      </c>
      <c r="B424" s="36">
        <v>2016</v>
      </c>
      <c r="C424" s="8">
        <v>2.7361736049812571</v>
      </c>
      <c r="D424" s="37">
        <v>2.107395411787667</v>
      </c>
      <c r="E424" s="6">
        <v>-1.003150712333296E-3</v>
      </c>
      <c r="F424" s="8">
        <v>1.0956999999999999</v>
      </c>
      <c r="G424" s="37">
        <v>478232.95</v>
      </c>
      <c r="H424" s="38">
        <v>2.5499732095396159</v>
      </c>
      <c r="I424" s="37">
        <v>92026.330035899999</v>
      </c>
      <c r="J424" s="8">
        <v>3.6688000000000001</v>
      </c>
      <c r="K424" s="8">
        <v>53.393999999999998</v>
      </c>
      <c r="L424" s="38">
        <v>1</v>
      </c>
      <c r="M424" s="8">
        <v>219.21250000000001</v>
      </c>
      <c r="N424" s="8">
        <v>11.32178310704416</v>
      </c>
      <c r="O424" s="8">
        <v>1.640694780230784E-2</v>
      </c>
      <c r="P424" s="8">
        <v>5.9655237802056581E-2</v>
      </c>
      <c r="Q424" s="8">
        <v>2.912831421912633</v>
      </c>
      <c r="R424" s="41">
        <v>9.7798006222006104E-3</v>
      </c>
      <c r="S424" s="33">
        <v>9.0896369032459928E-2</v>
      </c>
      <c r="T424" s="42">
        <v>29.6</v>
      </c>
      <c r="U424" s="34">
        <v>0.16582907499999999</v>
      </c>
      <c r="V424">
        <v>67.195312807389399</v>
      </c>
    </row>
    <row r="425" spans="1:22" x14ac:dyDescent="0.2">
      <c r="A425" s="35" t="s">
        <v>73</v>
      </c>
      <c r="B425" s="36">
        <v>2017</v>
      </c>
      <c r="C425" s="8">
        <v>1.2149580748370037</v>
      </c>
      <c r="D425" s="37">
        <v>0.97521022978217409</v>
      </c>
      <c r="E425" s="6">
        <v>7.4804537821740935E-3</v>
      </c>
      <c r="F425" s="8">
        <v>1.1000000000000001</v>
      </c>
      <c r="G425" s="37">
        <v>515450.20999999996</v>
      </c>
      <c r="H425" s="38">
        <v>7.782245033513469</v>
      </c>
      <c r="I425" s="37">
        <v>328072.59647538001</v>
      </c>
      <c r="J425" s="8">
        <v>3.5419999999999998</v>
      </c>
      <c r="K425" s="8">
        <v>49.724899999999998</v>
      </c>
      <c r="L425" s="38">
        <v>1</v>
      </c>
      <c r="M425" s="8">
        <v>206.24359999999999</v>
      </c>
      <c r="N425" s="8">
        <v>11.453900430194532</v>
      </c>
      <c r="O425" s="8">
        <v>3.7354403038781396E-2</v>
      </c>
      <c r="P425" s="8">
        <v>8.2094008869831384E-2</v>
      </c>
      <c r="Q425" s="8">
        <v>6.7529980858014529</v>
      </c>
      <c r="R425" s="41">
        <v>9.5393761841138236E-3</v>
      </c>
      <c r="S425" s="33">
        <v>0.15542873309395608</v>
      </c>
      <c r="T425" s="42">
        <v>32.6</v>
      </c>
      <c r="U425" s="34">
        <v>0.18246399999999999</v>
      </c>
      <c r="V425">
        <v>65.121568645066006</v>
      </c>
    </row>
    <row r="426" spans="1:22" x14ac:dyDescent="0.2">
      <c r="A426" s="35" t="s">
        <v>73</v>
      </c>
      <c r="B426" s="36">
        <v>2018</v>
      </c>
      <c r="C426" s="8">
        <v>0.25180037245054154</v>
      </c>
      <c r="D426" s="37">
        <v>1.090991818948412</v>
      </c>
      <c r="E426" s="6">
        <v>8.1286375484120477E-3</v>
      </c>
      <c r="F426" s="8">
        <v>1.0949</v>
      </c>
      <c r="G426" s="37">
        <v>570213.93999999994</v>
      </c>
      <c r="H426" s="38">
        <v>10.62444615164673</v>
      </c>
      <c r="I426" s="37">
        <v>526362.34039271995</v>
      </c>
      <c r="J426" s="8">
        <v>3.2328000000000001</v>
      </c>
      <c r="K426" s="8">
        <v>45.0321</v>
      </c>
      <c r="L426" s="38">
        <v>0</v>
      </c>
      <c r="M426" s="8">
        <v>249.9881</v>
      </c>
      <c r="N426" s="8">
        <v>11.590158485783197</v>
      </c>
      <c r="O426" s="8">
        <v>4.2105982530288681E-2</v>
      </c>
      <c r="P426" s="8">
        <v>5.6943754142017501E-2</v>
      </c>
      <c r="Q426" s="8">
        <v>59.487758521519488</v>
      </c>
      <c r="R426" s="41">
        <v>1.0306360684360992E-2</v>
      </c>
      <c r="S426" s="33">
        <v>1.9406327007352973E-2</v>
      </c>
      <c r="T426" s="42">
        <v>36</v>
      </c>
      <c r="U426" s="34">
        <v>7.0109500000000005E-2</v>
      </c>
      <c r="V426">
        <v>68.389467093542095</v>
      </c>
    </row>
    <row r="427" spans="1:22" x14ac:dyDescent="0.2">
      <c r="A427" s="35" t="s">
        <v>73</v>
      </c>
      <c r="B427" s="36">
        <v>2019</v>
      </c>
      <c r="C427" s="8">
        <v>1.1715214559587563</v>
      </c>
      <c r="D427" s="37">
        <v>2.3487476811968753</v>
      </c>
      <c r="E427" s="6">
        <v>-6.9913374031247864E-3</v>
      </c>
      <c r="F427" s="8">
        <v>1.1621999999999999</v>
      </c>
      <c r="G427" s="37">
        <v>612743.89</v>
      </c>
      <c r="H427" s="38">
        <v>7.4585952774146618</v>
      </c>
      <c r="I427" s="37">
        <v>429714.08079048007</v>
      </c>
      <c r="J427" s="8">
        <v>3.2959000000000001</v>
      </c>
      <c r="K427" s="8">
        <v>55.614899999999999</v>
      </c>
      <c r="L427" s="38">
        <v>1</v>
      </c>
      <c r="M427" s="8">
        <v>243.10210000000001</v>
      </c>
      <c r="N427" s="8">
        <v>11.673576138564256</v>
      </c>
      <c r="O427" s="8">
        <v>0</v>
      </c>
      <c r="P427" s="8">
        <v>7.9321915311717936E-2</v>
      </c>
      <c r="Q427" s="8">
        <v>6.7134666975224908</v>
      </c>
      <c r="R427" s="41">
        <v>9.199450799782502E-3</v>
      </c>
      <c r="S427" s="33">
        <v>4.9086221200260238E-2</v>
      </c>
      <c r="T427" s="42">
        <v>36.700000000000003</v>
      </c>
      <c r="U427" s="34">
        <v>0.19089490833333334</v>
      </c>
      <c r="V427">
        <v>70.420340535955106</v>
      </c>
    </row>
    <row r="428" spans="1:22" x14ac:dyDescent="0.2">
      <c r="A428" s="35" t="s">
        <v>73</v>
      </c>
      <c r="B428" s="36">
        <v>2020</v>
      </c>
      <c r="C428" s="8">
        <v>0.4796068469529039</v>
      </c>
      <c r="D428" s="37">
        <v>1.6352471639713841</v>
      </c>
      <c r="E428" s="6">
        <v>2.4611781571384109E-2</v>
      </c>
      <c r="F428" s="8">
        <v>1.0222</v>
      </c>
      <c r="G428" s="37">
        <v>802369.24</v>
      </c>
      <c r="H428" s="38">
        <v>30.946918132468031</v>
      </c>
      <c r="I428" s="37">
        <v>403629.65835163998</v>
      </c>
      <c r="J428" s="8">
        <v>3.4516</v>
      </c>
      <c r="K428" s="8">
        <v>51.036999999999999</v>
      </c>
      <c r="L428" s="38">
        <v>0</v>
      </c>
      <c r="M428" s="8">
        <v>183.76240000000001</v>
      </c>
      <c r="N428" s="8">
        <v>11.720775547483431</v>
      </c>
      <c r="O428" s="8">
        <v>4.2061875396767874E-2</v>
      </c>
      <c r="P428" s="8">
        <v>0.10633000454167421</v>
      </c>
      <c r="Q428" s="8">
        <v>20.224004517837081</v>
      </c>
      <c r="R428" s="41">
        <v>9.4767471029274779E-3</v>
      </c>
      <c r="S428" s="33">
        <v>-5.7839783974402245E-2</v>
      </c>
      <c r="T428" s="42">
        <v>41.3</v>
      </c>
      <c r="U428" s="34">
        <v>0.12185847500000001</v>
      </c>
      <c r="V428">
        <v>74.099566883605206</v>
      </c>
    </row>
    <row r="429" spans="1:22" x14ac:dyDescent="0.2">
      <c r="A429" s="35" t="s">
        <v>73</v>
      </c>
      <c r="B429" s="36">
        <v>2021</v>
      </c>
      <c r="C429" s="8">
        <v>1.3319813093509087</v>
      </c>
      <c r="D429" s="37">
        <v>-3.3840106028802808</v>
      </c>
      <c r="E429" s="6">
        <v>5.3427701119719818E-2</v>
      </c>
      <c r="F429" s="8">
        <v>1.1100000000000001</v>
      </c>
      <c r="G429" s="37">
        <v>881490.02999999991</v>
      </c>
      <c r="H429" s="38">
        <v>9.8608952157737164</v>
      </c>
      <c r="I429" s="37">
        <v>413241.11898683</v>
      </c>
      <c r="J429" s="8">
        <v>3.6318999999999999</v>
      </c>
      <c r="K429" s="8">
        <v>49.997999999999998</v>
      </c>
      <c r="L429" s="38">
        <v>0</v>
      </c>
      <c r="M429" s="8">
        <v>153.4984</v>
      </c>
      <c r="N429" s="8">
        <v>11.826430360595909</v>
      </c>
      <c r="O429" s="8">
        <v>2.2314779480916248E-2</v>
      </c>
      <c r="P429" s="8">
        <v>5.97974035923311E-2</v>
      </c>
      <c r="Q429" s="8">
        <v>4.7746165908123039</v>
      </c>
      <c r="R429" s="41">
        <v>8.9610112886146787E-3</v>
      </c>
      <c r="S429" s="33">
        <v>0.1791856081844693</v>
      </c>
      <c r="T429" s="42">
        <v>39.4</v>
      </c>
      <c r="U429" s="34">
        <v>6.0301849999999997E-2</v>
      </c>
      <c r="V429">
        <v>73.918012815435105</v>
      </c>
    </row>
    <row r="430" spans="1:22" x14ac:dyDescent="0.2">
      <c r="A430" s="35" t="s">
        <v>73</v>
      </c>
      <c r="B430" s="36">
        <v>2022</v>
      </c>
      <c r="C430" s="8">
        <v>2.170350136060482</v>
      </c>
      <c r="D430" s="37">
        <v>-0.11526769046225487</v>
      </c>
      <c r="E430" s="6">
        <v>1.9563790537745138E-2</v>
      </c>
      <c r="F430" s="8">
        <v>1.0965</v>
      </c>
      <c r="G430" s="37">
        <v>1108174.47</v>
      </c>
      <c r="H430" s="38">
        <v>25.716052625121588</v>
      </c>
      <c r="I430" s="37">
        <v>287457.28609521</v>
      </c>
      <c r="J430" s="8">
        <v>3.6070000000000002</v>
      </c>
      <c r="K430" s="8">
        <v>57.801200000000001</v>
      </c>
      <c r="L430" s="38">
        <v>1</v>
      </c>
      <c r="M430" s="8">
        <v>175.72900000000001</v>
      </c>
      <c r="N430" s="8">
        <v>11.967304367065662</v>
      </c>
      <c r="O430" s="8">
        <v>2.4231460110737679E-2</v>
      </c>
      <c r="P430" s="8">
        <v>8.6326031224581934E-2</v>
      </c>
      <c r="Q430" s="8">
        <v>2.4655321538911292</v>
      </c>
      <c r="R430" s="41">
        <v>8.8335083911925422E-3</v>
      </c>
      <c r="S430" s="33">
        <v>7.452704133482646E-2</v>
      </c>
      <c r="T430" s="42">
        <v>40.9</v>
      </c>
      <c r="U430" s="34">
        <v>0.19755554166666667</v>
      </c>
      <c r="V430">
        <v>78.604490582991602</v>
      </c>
    </row>
    <row r="431" spans="1:22" x14ac:dyDescent="0.2">
      <c r="A431" s="35"/>
      <c r="B431" s="36"/>
      <c r="C431" s="8"/>
      <c r="D431" s="37"/>
      <c r="E431" s="6"/>
      <c r="F431" s="8"/>
      <c r="G431" s="37"/>
      <c r="H431" s="38"/>
      <c r="I431" s="37"/>
      <c r="J431" s="8"/>
      <c r="K431" s="8"/>
      <c r="L431" s="38"/>
      <c r="M431" s="8"/>
      <c r="N431" s="8"/>
      <c r="O431" s="8"/>
      <c r="P431" s="8"/>
      <c r="Q431" s="8"/>
      <c r="R431" s="41"/>
      <c r="S431" s="33"/>
      <c r="T431" s="42"/>
      <c r="U431" s="34"/>
      <c r="V431"/>
    </row>
    <row r="432" spans="1:22" x14ac:dyDescent="0.2">
      <c r="A432" s="35" t="s">
        <v>75</v>
      </c>
      <c r="B432" s="36">
        <v>2014</v>
      </c>
      <c r="C432" s="8">
        <v>7.4099040840186809</v>
      </c>
      <c r="D432" s="37">
        <v>2.0149025728912733</v>
      </c>
      <c r="E432" s="6">
        <v>-2.4689533087269688E-3</v>
      </c>
      <c r="F432" s="8">
        <v>1.0359</v>
      </c>
      <c r="G432" s="37">
        <v>3661.48</v>
      </c>
      <c r="H432" s="38">
        <v>-18.569357091387861</v>
      </c>
      <c r="I432" s="37">
        <v>4893.0583572500009</v>
      </c>
      <c r="J432" s="8">
        <v>3.4030999999999998</v>
      </c>
      <c r="K432" s="8">
        <v>45.201500000000003</v>
      </c>
      <c r="L432" s="38">
        <v>1</v>
      </c>
      <c r="M432" s="8">
        <v>15.061400000000001</v>
      </c>
      <c r="N432" s="8">
        <v>8.336434596560677</v>
      </c>
      <c r="O432" s="8">
        <v>1.3629121134102019E-2</v>
      </c>
      <c r="P432" s="8">
        <v>8.5691852249611788E-2</v>
      </c>
      <c r="Q432" s="8">
        <v>5.1474363211896224</v>
      </c>
      <c r="R432" s="41">
        <v>7.3546310508332303E-3</v>
      </c>
      <c r="S432" s="33">
        <v>9.8240353028793539E-2</v>
      </c>
      <c r="T432" s="33">
        <v>29.2</v>
      </c>
      <c r="U432" s="34">
        <v>0.144828875</v>
      </c>
      <c r="V432">
        <v>61.029514460784299</v>
      </c>
    </row>
    <row r="433" spans="1:22" x14ac:dyDescent="0.2">
      <c r="A433" s="35" t="s">
        <v>75</v>
      </c>
      <c r="B433" s="36">
        <v>2015</v>
      </c>
      <c r="C433" s="8">
        <v>7.6919830942192506</v>
      </c>
      <c r="D433" s="37">
        <v>3.0659750768006657</v>
      </c>
      <c r="E433" s="6">
        <v>-1.6496225599333746E-2</v>
      </c>
      <c r="F433" s="8">
        <v>1.1107</v>
      </c>
      <c r="G433" s="37">
        <v>5892.1399999999994</v>
      </c>
      <c r="H433" s="38">
        <v>60.922359264559667</v>
      </c>
      <c r="I433" s="37">
        <v>5389.5864997900007</v>
      </c>
      <c r="J433" s="8">
        <v>3.2938999999999998</v>
      </c>
      <c r="K433" s="8">
        <v>42.825800000000001</v>
      </c>
      <c r="L433" s="38">
        <v>1</v>
      </c>
      <c r="M433" s="8">
        <v>6.2628000000000004</v>
      </c>
      <c r="N433" s="8">
        <v>8.4058273688331493</v>
      </c>
      <c r="O433" s="8">
        <v>5.7021935827027736E-3</v>
      </c>
      <c r="P433" s="8">
        <v>8.4911244757967921E-2</v>
      </c>
      <c r="Q433" s="8">
        <v>4.9240724268467524</v>
      </c>
      <c r="R433" s="41">
        <v>7.5051109592187458E-3</v>
      </c>
      <c r="S433" s="33">
        <v>3.1612495952536568E-2</v>
      </c>
      <c r="T433" s="42">
        <v>29.3</v>
      </c>
      <c r="U433" s="34">
        <v>0.17680460000000001</v>
      </c>
      <c r="V433">
        <v>64.151944463278596</v>
      </c>
    </row>
    <row r="434" spans="1:22" x14ac:dyDescent="0.2">
      <c r="A434" s="35" t="s">
        <v>75</v>
      </c>
      <c r="B434" s="36">
        <v>2016</v>
      </c>
      <c r="C434" s="8">
        <v>7.6897215622433279</v>
      </c>
      <c r="D434" s="37">
        <v>1.4772003294742466</v>
      </c>
      <c r="E434" s="6">
        <v>2.394204374246678E-3</v>
      </c>
      <c r="F434" s="8">
        <v>1.0823</v>
      </c>
      <c r="G434" s="37">
        <v>4788.55</v>
      </c>
      <c r="H434" s="38">
        <v>-18.72986724687464</v>
      </c>
      <c r="I434" s="37">
        <v>7740.0009827399999</v>
      </c>
      <c r="J434" s="8">
        <v>3.5644999999999998</v>
      </c>
      <c r="K434" s="8">
        <v>51.770800000000001</v>
      </c>
      <c r="L434" s="38">
        <v>1</v>
      </c>
      <c r="M434" s="8">
        <v>21.774100000000001</v>
      </c>
      <c r="N434" s="8">
        <v>8.4780471458752604</v>
      </c>
      <c r="O434" s="8">
        <v>8.7871380541329862E-3</v>
      </c>
      <c r="P434" s="8">
        <v>7.9960694983832126E-2</v>
      </c>
      <c r="Q434" s="8">
        <v>4.4146695512391556</v>
      </c>
      <c r="R434" s="41">
        <v>7.8221819110135555E-3</v>
      </c>
      <c r="S434" s="33">
        <v>9.0896369032459928E-2</v>
      </c>
      <c r="T434" s="42">
        <v>29.6</v>
      </c>
      <c r="U434" s="34">
        <v>0.16582907499999999</v>
      </c>
      <c r="V434">
        <v>67.195312807389399</v>
      </c>
    </row>
    <row r="435" spans="1:22" x14ac:dyDescent="0.2">
      <c r="A435" s="35" t="s">
        <v>75</v>
      </c>
      <c r="B435" s="36">
        <v>2017</v>
      </c>
      <c r="C435" s="8">
        <v>7.7671164400030914</v>
      </c>
      <c r="D435" s="37">
        <v>-0.75759135270579681</v>
      </c>
      <c r="E435" s="6">
        <v>2.7670105076622983E-2</v>
      </c>
      <c r="F435" s="8">
        <v>1.1571</v>
      </c>
      <c r="G435" s="37">
        <v>5381.6299999999992</v>
      </c>
      <c r="H435" s="38">
        <v>12.385377619529899</v>
      </c>
      <c r="I435" s="37">
        <v>10514.241006799999</v>
      </c>
      <c r="J435" s="8">
        <v>3.8772000000000002</v>
      </c>
      <c r="K435" s="8">
        <v>43.408700000000003</v>
      </c>
      <c r="L435" s="38">
        <v>1</v>
      </c>
      <c r="M435" s="8">
        <v>21.352900000000002</v>
      </c>
      <c r="N435" s="8">
        <v>8.6011023531748254</v>
      </c>
      <c r="O435" s="8">
        <v>1.1214769319402178E-2</v>
      </c>
      <c r="P435" s="8">
        <v>8.1529555270010393E-2</v>
      </c>
      <c r="Q435" s="8">
        <v>2.8509083976705072</v>
      </c>
      <c r="R435" s="41">
        <v>8.0034590350108511E-3</v>
      </c>
      <c r="S435" s="33">
        <v>0.15542873309395608</v>
      </c>
      <c r="T435" s="42">
        <v>32.6</v>
      </c>
      <c r="U435" s="34">
        <v>0.18246399999999999</v>
      </c>
      <c r="V435">
        <v>65.121568645066006</v>
      </c>
    </row>
    <row r="436" spans="1:22" x14ac:dyDescent="0.2">
      <c r="A436" s="35" t="s">
        <v>75</v>
      </c>
      <c r="B436" s="36">
        <v>2018</v>
      </c>
      <c r="C436" s="8">
        <v>8.1079715093348703</v>
      </c>
      <c r="D436" s="37">
        <v>1.6714122826466935</v>
      </c>
      <c r="E436" s="6">
        <v>-4.7742389726283639E-4</v>
      </c>
      <c r="F436" s="8">
        <v>1.1828000000000001</v>
      </c>
      <c r="G436" s="37">
        <v>3768.02</v>
      </c>
      <c r="H436" s="38">
        <v>-29.98366665861457</v>
      </c>
      <c r="I436" s="37">
        <v>13149.126532079998</v>
      </c>
      <c r="J436" s="8">
        <v>4.1211000000000002</v>
      </c>
      <c r="K436" s="8">
        <v>44.226599999999998</v>
      </c>
      <c r="L436" s="38">
        <v>1</v>
      </c>
      <c r="M436" s="8">
        <v>48.8459</v>
      </c>
      <c r="N436" s="8">
        <v>8.7211109295250289</v>
      </c>
      <c r="O436" s="8">
        <v>1.3360984600474763E-2</v>
      </c>
      <c r="P436" s="8">
        <v>6.0874702079738163E-2</v>
      </c>
      <c r="Q436" s="8">
        <v>2.496363225365779</v>
      </c>
      <c r="R436" s="41">
        <v>8.592912240666311E-3</v>
      </c>
      <c r="S436" s="33">
        <v>1.9406327007352973E-2</v>
      </c>
      <c r="T436" s="42">
        <v>36</v>
      </c>
      <c r="U436" s="34">
        <v>7.0109500000000005E-2</v>
      </c>
      <c r="V436">
        <v>68.389467093542095</v>
      </c>
    </row>
    <row r="437" spans="1:22" x14ac:dyDescent="0.2">
      <c r="A437" s="35" t="s">
        <v>75</v>
      </c>
      <c r="B437" s="36">
        <v>2019</v>
      </c>
      <c r="C437" s="8">
        <v>8.2794991399701185</v>
      </c>
      <c r="D437" s="37">
        <v>-0.33059475893897383</v>
      </c>
      <c r="E437" s="6">
        <v>1.8390563696814955E-2</v>
      </c>
      <c r="F437" s="8">
        <v>1.2255</v>
      </c>
      <c r="G437" s="37">
        <v>3118.63</v>
      </c>
      <c r="H437" s="38">
        <v>-17.234250348989651</v>
      </c>
      <c r="I437" s="37">
        <v>14094.090637199999</v>
      </c>
      <c r="J437" s="8">
        <v>3.8336999999999999</v>
      </c>
      <c r="K437" s="8">
        <v>42.7836</v>
      </c>
      <c r="L437" s="38">
        <v>1</v>
      </c>
      <c r="M437" s="8">
        <v>18.623100000000001</v>
      </c>
      <c r="N437" s="8">
        <v>8.7839583730107069</v>
      </c>
      <c r="O437" s="8">
        <v>1.1534854133337238E-2</v>
      </c>
      <c r="P437" s="8">
        <v>6.2908843856384622E-2</v>
      </c>
      <c r="Q437" s="8">
        <v>2.3308372677604714</v>
      </c>
      <c r="R437" s="41">
        <v>8.5972346976502037E-3</v>
      </c>
      <c r="S437" s="33">
        <v>4.9086221200260238E-2</v>
      </c>
      <c r="T437" s="42">
        <v>36.700000000000003</v>
      </c>
      <c r="U437" s="34">
        <v>0.19089490833333334</v>
      </c>
      <c r="V437">
        <v>70.420340535955106</v>
      </c>
    </row>
    <row r="438" spans="1:22" x14ac:dyDescent="0.2">
      <c r="A438" s="35" t="s">
        <v>75</v>
      </c>
      <c r="B438" s="36">
        <v>2020</v>
      </c>
      <c r="C438" s="8">
        <v>5.3916969047574161</v>
      </c>
      <c r="D438" s="37">
        <v>1.4875400995156554</v>
      </c>
      <c r="E438" s="6">
        <v>1.8674031361364619E-2</v>
      </c>
      <c r="F438" s="8">
        <v>1.0848</v>
      </c>
      <c r="G438" s="37">
        <v>6455.08</v>
      </c>
      <c r="H438" s="38">
        <v>106.98447715823936</v>
      </c>
      <c r="I438" s="37">
        <v>18751.59736752</v>
      </c>
      <c r="J438" s="8">
        <v>3.33</v>
      </c>
      <c r="K438" s="8">
        <v>47.494999999999997</v>
      </c>
      <c r="L438" s="38">
        <v>1</v>
      </c>
      <c r="M438" s="8">
        <v>42.163800000000002</v>
      </c>
      <c r="N438" s="8">
        <v>8.794561378136784</v>
      </c>
      <c r="O438" s="8">
        <v>1.8255239343551197E-2</v>
      </c>
      <c r="P438" s="8">
        <v>9.6297952359160013E-2</v>
      </c>
      <c r="Q438" s="8">
        <v>4.2526796258979935</v>
      </c>
      <c r="R438" s="41">
        <v>8.4634392099772696E-3</v>
      </c>
      <c r="S438" s="33">
        <v>-5.7839783974402245E-2</v>
      </c>
      <c r="T438" s="42">
        <v>41.3</v>
      </c>
      <c r="U438" s="34">
        <v>0.12185847500000001</v>
      </c>
      <c r="V438">
        <v>74.099566883605206</v>
      </c>
    </row>
    <row r="439" spans="1:22" x14ac:dyDescent="0.2">
      <c r="A439" s="35" t="s">
        <v>75</v>
      </c>
      <c r="B439" s="36">
        <v>2021</v>
      </c>
      <c r="C439" s="8">
        <v>6.1006165551158711</v>
      </c>
      <c r="D439" s="37">
        <v>-1.194795293725146</v>
      </c>
      <c r="E439" s="6">
        <v>2.9831005467667988E-2</v>
      </c>
      <c r="F439" s="8">
        <v>1.1065</v>
      </c>
      <c r="G439" s="37">
        <v>6338.34</v>
      </c>
      <c r="H439" s="38">
        <v>-1.8084981131140092</v>
      </c>
      <c r="I439" s="37">
        <v>25877.059589280001</v>
      </c>
      <c r="J439" s="8">
        <v>3.3544</v>
      </c>
      <c r="K439" s="8">
        <v>44.905900000000003</v>
      </c>
      <c r="L439" s="38">
        <v>1</v>
      </c>
      <c r="M439" s="8">
        <v>26.194500000000001</v>
      </c>
      <c r="N439" s="8">
        <v>8.8938265505155893</v>
      </c>
      <c r="O439" s="8">
        <v>2.2122552451464741E-2</v>
      </c>
      <c r="P439" s="8">
        <v>0.10213047770761313</v>
      </c>
      <c r="Q439" s="8">
        <v>3.3269969798488752</v>
      </c>
      <c r="R439" s="41">
        <v>8.3022011639014397E-3</v>
      </c>
      <c r="S439" s="33">
        <v>0.1791856081844693</v>
      </c>
      <c r="T439" s="42">
        <v>39.4</v>
      </c>
      <c r="U439" s="34">
        <v>6.0301849999999997E-2</v>
      </c>
      <c r="V439">
        <v>73.918012815435105</v>
      </c>
    </row>
    <row r="440" spans="1:22" x14ac:dyDescent="0.2">
      <c r="A440" s="35" t="s">
        <v>75</v>
      </c>
      <c r="B440" s="36">
        <v>2022</v>
      </c>
      <c r="C440" s="8">
        <v>6.908683510439805</v>
      </c>
      <c r="D440" s="37">
        <v>-0.9511671478717173</v>
      </c>
      <c r="E440" s="6">
        <v>3.2313645636983697E-2</v>
      </c>
      <c r="F440" s="8">
        <v>1.0479000000000001</v>
      </c>
      <c r="G440" s="37">
        <v>7444.7800000000007</v>
      </c>
      <c r="H440" s="38">
        <v>17.456305594209219</v>
      </c>
      <c r="I440" s="37">
        <v>25465.674219619999</v>
      </c>
      <c r="J440" s="8">
        <v>3.2168000000000001</v>
      </c>
      <c r="K440" s="8">
        <v>40.675400000000003</v>
      </c>
      <c r="L440" s="38">
        <v>1</v>
      </c>
      <c r="M440" s="8">
        <v>87.869100000000003</v>
      </c>
      <c r="N440" s="8">
        <v>9.0002908312096626</v>
      </c>
      <c r="O440" s="8">
        <v>1.8055237587750263E-2</v>
      </c>
      <c r="P440" s="8">
        <v>0.10107727918495819</v>
      </c>
      <c r="Q440" s="8">
        <v>2.2212421370092579</v>
      </c>
      <c r="R440" s="41">
        <v>8.6183355801832569E-3</v>
      </c>
      <c r="S440" s="33">
        <v>7.452704133482646E-2</v>
      </c>
      <c r="T440" s="42">
        <v>40.9</v>
      </c>
      <c r="U440" s="34">
        <v>0.19755554166666667</v>
      </c>
      <c r="V440">
        <v>78.604490582991602</v>
      </c>
    </row>
    <row r="441" spans="1:22" x14ac:dyDescent="0.2">
      <c r="A441" s="35"/>
      <c r="B441" s="36"/>
      <c r="C441" s="8"/>
      <c r="D441" s="37"/>
      <c r="E441" s="6"/>
      <c r="F441" s="8"/>
      <c r="G441" s="37"/>
      <c r="H441" s="38"/>
      <c r="I441" s="37"/>
      <c r="J441" s="8"/>
      <c r="K441" s="8"/>
      <c r="L441" s="38"/>
      <c r="M441" s="8"/>
      <c r="N441" s="8"/>
      <c r="O441" s="8"/>
      <c r="P441" s="8"/>
      <c r="Q441" s="8"/>
      <c r="R441" s="41"/>
      <c r="S441" s="33"/>
      <c r="T441" s="42"/>
      <c r="U441" s="34"/>
      <c r="V441"/>
    </row>
    <row r="442" spans="1:22" x14ac:dyDescent="0.2">
      <c r="A442" s="35" t="s">
        <v>76</v>
      </c>
      <c r="B442" s="36">
        <v>2014</v>
      </c>
      <c r="C442" s="37">
        <v>1.9102649263249847</v>
      </c>
      <c r="D442" s="37">
        <v>2.3789908912432263</v>
      </c>
      <c r="E442" s="22">
        <v>2.4547440602567919E-2</v>
      </c>
      <c r="F442" s="37">
        <v>0.999</v>
      </c>
      <c r="G442" s="37">
        <v>147.98504700000001</v>
      </c>
      <c r="H442" s="38">
        <v>-10.800346223658194</v>
      </c>
      <c r="I442" s="37">
        <v>1508.98130713</v>
      </c>
      <c r="J442" s="37">
        <v>3.7926000000000002</v>
      </c>
      <c r="K442" s="37">
        <v>78.539299999999997</v>
      </c>
      <c r="L442" s="38">
        <v>0</v>
      </c>
      <c r="M442" s="37">
        <v>15.1059</v>
      </c>
      <c r="N442" s="37">
        <v>6.666916969753343</v>
      </c>
      <c r="O442" s="37">
        <v>3.417833367848724E-3</v>
      </c>
      <c r="P442" s="37">
        <v>3.6229905847395702E-2</v>
      </c>
      <c r="Q442" s="37">
        <v>9.3023992094138315</v>
      </c>
      <c r="R442" s="41">
        <v>8.4366247054246876E-3</v>
      </c>
      <c r="S442" s="33">
        <v>-2.3790473405785002E-2</v>
      </c>
      <c r="T442" s="36">
        <v>38.4</v>
      </c>
      <c r="U442" s="34">
        <v>0.188985125</v>
      </c>
      <c r="V442">
        <v>11865.2112962963</v>
      </c>
    </row>
    <row r="443" spans="1:22" x14ac:dyDescent="0.2">
      <c r="A443" s="35" t="s">
        <v>76</v>
      </c>
      <c r="B443" s="36">
        <v>2015</v>
      </c>
      <c r="C443" s="37">
        <v>2.1621229754534852</v>
      </c>
      <c r="D443" s="37">
        <v>0.7044080623116723</v>
      </c>
      <c r="E443" s="22">
        <v>3.415046172563229E-2</v>
      </c>
      <c r="F443" s="37">
        <v>1.0542</v>
      </c>
      <c r="G443" s="37">
        <v>245.817984</v>
      </c>
      <c r="H443" s="38">
        <v>66.110015155787991</v>
      </c>
      <c r="I443" s="37">
        <v>980.73297820999994</v>
      </c>
      <c r="J443" s="37">
        <v>4.3125</v>
      </c>
      <c r="K443" s="37">
        <v>73.685000000000002</v>
      </c>
      <c r="L443" s="38">
        <v>0</v>
      </c>
      <c r="M443" s="37">
        <v>11.688000000000001</v>
      </c>
      <c r="N443" s="37">
        <v>6.5904945734255147</v>
      </c>
      <c r="O443" s="37">
        <v>4.000367156724206E-3</v>
      </c>
      <c r="P443" s="37">
        <v>3.8520506127316841E-2</v>
      </c>
      <c r="Q443" s="37">
        <v>6.7968527298641614</v>
      </c>
      <c r="R443" s="41">
        <v>8.6856147825995055E-3</v>
      </c>
      <c r="S443" s="33">
        <v>-3.3632719494237032E-2</v>
      </c>
      <c r="T443" s="36">
        <v>40.299999999999997</v>
      </c>
      <c r="U443" s="34">
        <v>0.13680825833333329</v>
      </c>
      <c r="V443">
        <v>13389.412936507901</v>
      </c>
    </row>
    <row r="444" spans="1:22" x14ac:dyDescent="0.2">
      <c r="A444" s="35" t="s">
        <v>76</v>
      </c>
      <c r="B444" s="36">
        <v>2016</v>
      </c>
      <c r="C444" s="37">
        <v>0.85435763227423522</v>
      </c>
      <c r="D444" s="37">
        <v>-1.0680763265250066</v>
      </c>
      <c r="E444" s="22">
        <v>5.6663201471889607E-2</v>
      </c>
      <c r="F444" s="37">
        <v>1.0053000000000001</v>
      </c>
      <c r="G444" s="37">
        <v>394.38937199999998</v>
      </c>
      <c r="H444" s="38">
        <v>60.439592572689868</v>
      </c>
      <c r="I444" s="37">
        <v>1844.2213407199999</v>
      </c>
      <c r="J444" s="37">
        <v>4.9451000000000001</v>
      </c>
      <c r="K444" s="37">
        <v>82.644099999999995</v>
      </c>
      <c r="L444" s="38">
        <v>0</v>
      </c>
      <c r="M444" s="37">
        <v>6.9939999999999998</v>
      </c>
      <c r="N444" s="37">
        <v>6.8082361138132672</v>
      </c>
      <c r="O444" s="37">
        <v>8.1382420212652191E-3</v>
      </c>
      <c r="P444" s="37">
        <v>4.7852150832798868E-2</v>
      </c>
      <c r="Q444" s="37">
        <v>7.7750604393679268</v>
      </c>
      <c r="R444" s="41">
        <v>8.6465015627459948E-3</v>
      </c>
      <c r="S444" s="33">
        <v>8.2503086604823125E-2</v>
      </c>
      <c r="T444" s="36">
        <v>39.799999999999997</v>
      </c>
      <c r="U444" s="34">
        <v>0.15395719999999999</v>
      </c>
      <c r="V444">
        <v>13308.3268020542</v>
      </c>
    </row>
    <row r="445" spans="1:22" x14ac:dyDescent="0.2">
      <c r="A445" s="35" t="s">
        <v>76</v>
      </c>
      <c r="B445" s="36">
        <v>2017</v>
      </c>
      <c r="C445" s="37">
        <v>1.237236417049459</v>
      </c>
      <c r="D445" s="37">
        <v>38.491759574683343</v>
      </c>
      <c r="E445" s="22">
        <v>-0.34802925510186533</v>
      </c>
      <c r="F445" s="37">
        <v>1.0706</v>
      </c>
      <c r="G445" s="37">
        <v>429.52925900000002</v>
      </c>
      <c r="H445" s="38">
        <v>8.9099477558944074</v>
      </c>
      <c r="I445" s="37">
        <v>2287.3220001499999</v>
      </c>
      <c r="J445" s="37">
        <v>4.9246999999999996</v>
      </c>
      <c r="K445" s="37">
        <v>77.464500000000001</v>
      </c>
      <c r="L445" s="38">
        <v>0</v>
      </c>
      <c r="M445" s="37">
        <v>12.846</v>
      </c>
      <c r="N445" s="37">
        <v>7.0578651485782675</v>
      </c>
      <c r="O445" s="37">
        <v>8.9642649778504148E-3</v>
      </c>
      <c r="P445" s="37">
        <v>3.6269366491276524E-2</v>
      </c>
      <c r="Q445" s="37">
        <v>7.7736421435059038</v>
      </c>
      <c r="R445" s="41">
        <v>7.9521710381891264E-3</v>
      </c>
      <c r="S445" s="33">
        <v>8.9863090752360486E-2</v>
      </c>
      <c r="T445" s="36">
        <v>40</v>
      </c>
      <c r="U445" s="34">
        <v>5.1390424999999997E-2</v>
      </c>
      <c r="V445">
        <v>13380.8338788891</v>
      </c>
    </row>
    <row r="446" spans="1:22" x14ac:dyDescent="0.2">
      <c r="A446" s="35" t="s">
        <v>76</v>
      </c>
      <c r="B446" s="36">
        <v>2018</v>
      </c>
      <c r="C446" s="37">
        <v>1.9040496294597304</v>
      </c>
      <c r="D446" s="37">
        <v>2.8800170312088675</v>
      </c>
      <c r="E446" s="22">
        <v>-1.0422730034613786E-2</v>
      </c>
      <c r="F446" s="37">
        <v>0.99029999999999996</v>
      </c>
      <c r="G446" s="37">
        <v>370.47337399999998</v>
      </c>
      <c r="H446" s="38">
        <v>-13.748978390317305</v>
      </c>
      <c r="I446" s="37">
        <v>2035.4462456199999</v>
      </c>
      <c r="J446" s="37">
        <v>4.4298999999999999</v>
      </c>
      <c r="K446" s="37">
        <v>70.831299999999999</v>
      </c>
      <c r="L446" s="38">
        <v>0</v>
      </c>
      <c r="M446" s="37">
        <v>3.7753000000000001</v>
      </c>
      <c r="N446" s="37">
        <v>7.010772140426675</v>
      </c>
      <c r="O446" s="37">
        <v>1.0833626020387007E-2</v>
      </c>
      <c r="P446" s="37">
        <v>5.3876969636992934E-2</v>
      </c>
      <c r="Q446" s="37">
        <v>5.082126619246214</v>
      </c>
      <c r="R446" s="41">
        <v>8.8353520877298454E-3</v>
      </c>
      <c r="S446" s="33">
        <v>2.6242907526326353E-2</v>
      </c>
      <c r="T446" s="36">
        <v>40.4</v>
      </c>
      <c r="U446" s="34">
        <v>3.1871000000000003E-2</v>
      </c>
      <c r="V446">
        <v>14236.938773481799</v>
      </c>
    </row>
    <row r="447" spans="1:22" x14ac:dyDescent="0.2">
      <c r="A447" s="35" t="s">
        <v>76</v>
      </c>
      <c r="B447" s="36">
        <v>2019</v>
      </c>
      <c r="C447" s="37">
        <v>1.5807549762663502</v>
      </c>
      <c r="D447" s="37">
        <v>2.2013266670333316</v>
      </c>
      <c r="E447" s="22">
        <v>1.0054927087819037E-2</v>
      </c>
      <c r="F447" s="37">
        <v>0.96560000000000001</v>
      </c>
      <c r="G447" s="37">
        <v>313.22714999999999</v>
      </c>
      <c r="H447" s="38">
        <v>-15.452183076455039</v>
      </c>
      <c r="I447" s="37">
        <v>2621.4015125999999</v>
      </c>
      <c r="J447" s="37">
        <v>3.7591999999999999</v>
      </c>
      <c r="K447" s="37">
        <v>78.342500000000001</v>
      </c>
      <c r="L447" s="38">
        <v>0</v>
      </c>
      <c r="M447" s="37">
        <v>57.029299999999999</v>
      </c>
      <c r="N447" s="37">
        <v>7.2185143913966598</v>
      </c>
      <c r="O447" s="37">
        <v>1.0065305181999515E-2</v>
      </c>
      <c r="P447" s="37">
        <v>5.5553514374362623E-2</v>
      </c>
      <c r="Q447" s="37">
        <v>6.4546004767845453</v>
      </c>
      <c r="R447" s="41">
        <v>1.0774877138776355E-2</v>
      </c>
      <c r="S447" s="33">
        <v>7.3712402194368393E-2</v>
      </c>
      <c r="T447" s="36">
        <v>40.4</v>
      </c>
      <c r="U447" s="34">
        <v>0.28101690833333337</v>
      </c>
      <c r="V447">
        <v>14147.671360545401</v>
      </c>
    </row>
    <row r="448" spans="1:22" x14ac:dyDescent="0.2">
      <c r="A448" s="35" t="s">
        <v>76</v>
      </c>
      <c r="B448" s="36">
        <v>2020</v>
      </c>
      <c r="C448" s="37">
        <v>1.222978556521626</v>
      </c>
      <c r="D448" s="37">
        <v>-0.94217830756538434</v>
      </c>
      <c r="E448" s="22">
        <v>5.3386144850661836E-2</v>
      </c>
      <c r="F448" s="37">
        <v>0.97040000000000004</v>
      </c>
      <c r="G448" s="37">
        <v>303.61350900000002</v>
      </c>
      <c r="H448" s="38">
        <v>-3.0692234054423357</v>
      </c>
      <c r="I448" s="37">
        <v>3110.7260950999998</v>
      </c>
      <c r="J448" s="37">
        <v>3.1751</v>
      </c>
      <c r="K448" s="37">
        <v>82.072699999999998</v>
      </c>
      <c r="L448" s="38">
        <v>0</v>
      </c>
      <c r="M448" s="37">
        <v>306.96069999999997</v>
      </c>
      <c r="N448" s="37">
        <v>7.5023241151007829</v>
      </c>
      <c r="O448" s="37">
        <v>1.1764381106689646E-2</v>
      </c>
      <c r="P448" s="37">
        <v>3.4750971913689144E-2</v>
      </c>
      <c r="Q448" s="37">
        <v>12.623712128940122</v>
      </c>
      <c r="R448" s="41">
        <v>6.2759508553530274</v>
      </c>
      <c r="S448" s="33">
        <v>-5.3654754334001277E-2</v>
      </c>
      <c r="T448" s="36">
        <v>41.7</v>
      </c>
      <c r="U448" s="34">
        <v>0.11197615</v>
      </c>
      <c r="V448">
        <v>14582.203467817701</v>
      </c>
    </row>
    <row r="449" spans="1:22" x14ac:dyDescent="0.2">
      <c r="A449" s="35" t="s">
        <v>76</v>
      </c>
      <c r="B449" s="36">
        <v>2021</v>
      </c>
      <c r="C449" s="37">
        <v>1.4242303808589221</v>
      </c>
      <c r="D449" s="37">
        <v>-1.6894422925659802</v>
      </c>
      <c r="E449" s="22">
        <v>4.628266960251988E-2</v>
      </c>
      <c r="F449" s="37">
        <v>0.93579999999999997</v>
      </c>
      <c r="G449" s="37">
        <v>273.68412899999998</v>
      </c>
      <c r="H449" s="38">
        <v>-9.8577234256068742</v>
      </c>
      <c r="I449" s="37">
        <v>4246.9790524</v>
      </c>
      <c r="J449" s="37">
        <v>3.8233000000000001</v>
      </c>
      <c r="K449" s="37">
        <v>63.817599999999999</v>
      </c>
      <c r="L449" s="38">
        <v>0</v>
      </c>
      <c r="M449" s="37">
        <v>8.25</v>
      </c>
      <c r="N449" s="37">
        <v>7.5173219177737298</v>
      </c>
      <c r="O449" s="37">
        <v>2.1198567938999803E-2</v>
      </c>
      <c r="P449" s="37">
        <v>0.14501303520156728</v>
      </c>
      <c r="Q449" s="37">
        <v>4.8397845931568924</v>
      </c>
      <c r="R449" s="41">
        <v>7.1457206231834419E-3</v>
      </c>
      <c r="S449" s="33">
        <v>0.12034373279739548</v>
      </c>
      <c r="T449" s="36">
        <v>42.7</v>
      </c>
      <c r="U449" s="34">
        <v>0.12696725</v>
      </c>
      <c r="V449">
        <v>14308.1439011897</v>
      </c>
    </row>
    <row r="450" spans="1:22" x14ac:dyDescent="0.2">
      <c r="A450" s="35" t="s">
        <v>76</v>
      </c>
      <c r="B450" s="36">
        <v>2022</v>
      </c>
      <c r="C450" s="37">
        <v>2.1085282009186921</v>
      </c>
      <c r="D450" s="37">
        <v>1.4868231791061952</v>
      </c>
      <c r="E450" s="22">
        <v>-6.8022814214737878E-4</v>
      </c>
      <c r="F450" s="37">
        <v>0.87350000000000005</v>
      </c>
      <c r="G450" s="37">
        <v>309.83997799999997</v>
      </c>
      <c r="H450" s="38">
        <v>13.210794916061792</v>
      </c>
      <c r="I450" s="37">
        <v>3657.8338340399996</v>
      </c>
      <c r="J450" s="37">
        <v>4.2539999999999996</v>
      </c>
      <c r="K450" s="37">
        <v>60.647199999999998</v>
      </c>
      <c r="L450" s="38">
        <v>0</v>
      </c>
      <c r="M450" s="37">
        <v>8.6306999999999992</v>
      </c>
      <c r="N450" s="37">
        <v>7.3862572572476015</v>
      </c>
      <c r="O450" s="37">
        <v>2.7251041479844588E-2</v>
      </c>
      <c r="P450" s="37">
        <v>0.11323600833461769</v>
      </c>
      <c r="Q450" s="37">
        <v>3.0391918208373903</v>
      </c>
      <c r="R450" s="41">
        <v>9.2983052768775172E-3</v>
      </c>
      <c r="S450" s="33">
        <v>0.11175234300769134</v>
      </c>
      <c r="T450" s="36">
        <v>43.3</v>
      </c>
      <c r="U450" s="34">
        <v>0.16240853333333333</v>
      </c>
      <c r="V450">
        <v>14849.8539362105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Cluster 1</vt:lpstr>
      <vt:lpstr>Cluster 2</vt:lpstr>
      <vt:lpstr>Cluster 3</vt:lpstr>
      <vt:lpstr>Cluster 4</vt:lpstr>
      <vt:lpstr>Cluster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Aamish Bhatt</dc:creator>
  <cp:lastModifiedBy>Aarya Aamish Bhatt</cp:lastModifiedBy>
  <dcterms:created xsi:type="dcterms:W3CDTF">2024-04-10T07:34:02Z</dcterms:created>
  <dcterms:modified xsi:type="dcterms:W3CDTF">2024-05-13T09:07:35Z</dcterms:modified>
</cp:coreProperties>
</file>